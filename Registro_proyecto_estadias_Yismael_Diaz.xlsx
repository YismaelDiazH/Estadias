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mc:AlternateContent xmlns:mc="http://schemas.openxmlformats.org/markup-compatibility/2006">
    <mc:Choice Requires="x15">
      <x15ac:absPath xmlns:x15ac="http://schemas.microsoft.com/office/spreadsheetml/2010/11/ac" url="C:\Users\diazy13\Documents\Estadias\"/>
    </mc:Choice>
  </mc:AlternateContent>
  <xr:revisionPtr revIDLastSave="0" documentId="13_ncr:1_{2BA5326C-5142-4B49-AE60-347EB33E49AB}" xr6:coauthVersionLast="47" xr6:coauthVersionMax="47" xr10:uidLastSave="{00000000-0000-0000-0000-000000000000}"/>
  <bookViews>
    <workbookView xWindow="28680" yWindow="-120" windowWidth="29040" windowHeight="15720" activeTab="1" xr2:uid="{00000000-000D-0000-FFFF-FFFF00000000}"/>
  </bookViews>
  <sheets>
    <sheet name="Asignación de Proyecto" sheetId="1" r:id="rId1"/>
    <sheet name="Formato de Asesorías" sheetId="2" r:id="rId2"/>
  </sheets>
  <definedNames>
    <definedName name="_xlnm.Print_Area" localSheetId="0">'Asignación de Proyecto'!$A$2:$L$37</definedName>
    <definedName name="_xlnm.Print_Area" localSheetId="1">'Formato de Asesorías'!$A$2:$L$43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5" i="1" l="1"/>
  <c r="B40" i="2" s="1"/>
  <c r="A35" i="1"/>
  <c r="A11" i="2"/>
  <c r="A10" i="2"/>
  <c r="C12" i="2"/>
  <c r="C8" i="2"/>
  <c r="C7" i="2"/>
  <c r="C6" i="2"/>
  <c r="H13" i="2"/>
  <c r="C13" i="2"/>
  <c r="C11" i="2"/>
  <c r="C10" i="2"/>
  <c r="C9" i="2"/>
  <c r="C5" i="2"/>
  <c r="K8" i="2"/>
  <c r="K7" i="2"/>
  <c r="K6" i="2"/>
  <c r="J34" i="1"/>
  <c r="A34" i="1"/>
  <c r="B39" i="2" l="1"/>
  <c r="F34" i="1" l="1"/>
</calcChain>
</file>

<file path=xl/sharedStrings.xml><?xml version="1.0" encoding="utf-8"?>
<sst xmlns="http://schemas.openxmlformats.org/spreadsheetml/2006/main" count="151" uniqueCount="121">
  <si>
    <t>Registro del proyecto de estadías</t>
  </si>
  <si>
    <t>Asesora empresarial:</t>
  </si>
  <si>
    <t xml:space="preserve">FO-UTEZ-EST-02 </t>
  </si>
  <si>
    <t>Asesor empresarial:</t>
  </si>
  <si>
    <t>Rev. 06</t>
  </si>
  <si>
    <t>Asesora universitaria:</t>
  </si>
  <si>
    <t xml:space="preserve">Nombre del estudiante: </t>
  </si>
  <si>
    <t>Andrés Yismael Díaz Hernandéz</t>
  </si>
  <si>
    <t>Asesor universitario:</t>
  </si>
  <si>
    <t>Generación:</t>
  </si>
  <si>
    <t xml:space="preserve">      Matrícula:</t>
  </si>
  <si>
    <t>20243IGS003</t>
  </si>
  <si>
    <t>Compromiso con la responsabilidad Social</t>
  </si>
  <si>
    <t xml:space="preserve">Nivel académico: </t>
  </si>
  <si>
    <t>Ingeniería</t>
  </si>
  <si>
    <t>Grado y Grupo:</t>
  </si>
  <si>
    <t>11B</t>
  </si>
  <si>
    <t>Equidad Social y de Genero</t>
  </si>
  <si>
    <t xml:space="preserve">Carrera: </t>
  </si>
  <si>
    <t>Desarrollo y Gestión de Software</t>
  </si>
  <si>
    <t xml:space="preserve">     Área:</t>
  </si>
  <si>
    <t>No aplica</t>
  </si>
  <si>
    <t>Inclusión</t>
  </si>
  <si>
    <t>Empresa o Institución:</t>
  </si>
  <si>
    <t>Baxter S.A. de C.V.</t>
  </si>
  <si>
    <t>Excelencia</t>
  </si>
  <si>
    <t>I. I. Julio César Torres Hernández</t>
  </si>
  <si>
    <t>Vanguardia</t>
  </si>
  <si>
    <t>Innovación Social</t>
  </si>
  <si>
    <t>Fecha de Inicio:</t>
  </si>
  <si>
    <t>Fecha de término:</t>
  </si>
  <si>
    <t>Interculturalidad</t>
  </si>
  <si>
    <t>Tipo de proyecto:</t>
  </si>
  <si>
    <t>Nombre del proyecto:</t>
  </si>
  <si>
    <t>Evidencias para medir resultados:</t>
  </si>
  <si>
    <t>Monitoreo y Control de Muestras de Retención</t>
  </si>
  <si>
    <t xml:space="preserve">Objetivo general: </t>
  </si>
  <si>
    <r>
      <t>Objetivos particulares</t>
    </r>
    <r>
      <rPr>
        <sz val="12"/>
        <rFont val="Arial"/>
        <family val="2"/>
      </rPr>
      <t xml:space="preserve">: </t>
    </r>
  </si>
  <si>
    <t>Fases detalladas</t>
  </si>
  <si>
    <t>Fechas de término programadas</t>
  </si>
  <si>
    <t>1. Inicio</t>
  </si>
  <si>
    <t>2. Planeación</t>
  </si>
  <si>
    <t>3. Ejecución</t>
  </si>
  <si>
    <t>4. Control</t>
  </si>
  <si>
    <r>
      <t>Estrategias:</t>
    </r>
    <r>
      <rPr>
        <sz val="12"/>
        <rFont val="Arial"/>
        <family val="2"/>
      </rPr>
      <t xml:space="preserve">  </t>
    </r>
  </si>
  <si>
    <t>5. Cierre</t>
  </si>
  <si>
    <t>ESTUDIANTE</t>
  </si>
  <si>
    <t>La información de carácter personal recabada en este documento, será protegida por la Universidad Tecnológica Emiliano Zapata del Estado de Morelos de acuerdo con lo establecido en la Ley de Protección de Datos Personales en Posesión de los Sujetos Obligados del Estado de Morelos. Consulte nuestro aviso de privacidad en la página web de la UTEZ http://www.utez.edu.mx/.</t>
  </si>
  <si>
    <t>Reporte de asesorías de estadías</t>
  </si>
  <si>
    <t xml:space="preserve">FO-UTEZ-EST-03 </t>
  </si>
  <si>
    <t>Rev. 07</t>
  </si>
  <si>
    <t>DIRECTOR DE CARRERA</t>
  </si>
  <si>
    <t>Matrícula:</t>
  </si>
  <si>
    <t>DIRECTORA DE CARRERA</t>
  </si>
  <si>
    <t>ENCARGADO DEL DESPACHO DE LA DIRECCIÓN</t>
  </si>
  <si>
    <t>Área:</t>
  </si>
  <si>
    <t>Periodo de estadía del:</t>
  </si>
  <si>
    <t>Al:</t>
  </si>
  <si>
    <t>Fecha</t>
  </si>
  <si>
    <t>Actividad realizada con el estudiante</t>
  </si>
  <si>
    <t>Tipo de
asesoría *</t>
  </si>
  <si>
    <t>Observaciones</t>
  </si>
  <si>
    <t>Firma del estudiante</t>
  </si>
  <si>
    <t>* Tipo de asesoría:</t>
  </si>
  <si>
    <t>Personal en empresa (PEEM)</t>
  </si>
  <si>
    <t>Personal en UTEZ (PEUTEZ)</t>
  </si>
  <si>
    <t>Virtual (V)</t>
  </si>
  <si>
    <t>Telefónica (TE)</t>
  </si>
  <si>
    <t>Correo electrónico (CE)</t>
  </si>
  <si>
    <t>Se establecen fechas para proximas asesorias.</t>
  </si>
  <si>
    <t>Se realizan correcciones en capitulo 1.</t>
  </si>
  <si>
    <t>V</t>
  </si>
  <si>
    <t>M. C. Nélida Báron Pérez</t>
  </si>
  <si>
    <t>1. Formato de asesorías debidamente firmados.</t>
  </si>
  <si>
    <t>2. Entrega de avances del proyecto (Repositorio y documentación técnica).</t>
  </si>
  <si>
    <t>3. Manual de usuario</t>
  </si>
  <si>
    <t>4. Reporte de Audit Trail.</t>
  </si>
  <si>
    <t>Optimizar la trazabilidad y el control del ciclo de vida de las muestras de retención en la planta Vantive Cuernavaca, mediante la implementación de un sistema de gestión para garantizar el cumplimiento de las auditorías de calidad.</t>
  </si>
  <si>
    <t>Aplicación de la Metodología en V para validación de sistemas computarizados; uso de React para la interfaz dinámica; integración con Active Directory para seguridad y cumplimiento de los principios ALCOA+.</t>
  </si>
  <si>
    <t>1. Diseñar la arquitectura del sistema y la base de datos que permita el almacenamiento centralizado de la información de los lotes.</t>
  </si>
  <si>
    <t>2. Desarrollar los módulos de gestión del ciclo de vida de las muestras.</t>
  </si>
  <si>
    <t>3. Implementar un módulo de alertas y notificaciones basado en las fechas de expiración de cada lote.</t>
  </si>
  <si>
    <t xml:space="preserve">4. Establecer un mecanismo de trazabilidad y generación de reportes auditables, asegurando la integridad de la información para fines de control de calidad. </t>
  </si>
  <si>
    <t>PEEM</t>
  </si>
  <si>
    <t>Se explicó detalladamente el proceso que debía digitalizarse, así como los puntos clave a considerar para su desarrollo.</t>
  </si>
  <si>
    <t>Se definieron los plazos para la ejecución del proyecto y la documentación necesaria por parte de ambos involucrados.</t>
  </si>
  <si>
    <t>Retroalimentación de cap. 1 y corrección en capitulo 2 y registro de proyecto.</t>
  </si>
  <si>
    <t>Revisión de capitulo 2 y del registro de proyecto de estadias por la asesora universitaria.</t>
  </si>
  <si>
    <t>Reunión grupal con la asesora universitaria para información del cierre de estadías.</t>
  </si>
  <si>
    <t>Sesión complementaria con los involucrados internos de la empresa.</t>
  </si>
  <si>
    <t>Primer acercamiento con el asesor empresarial.</t>
  </si>
  <si>
    <t>Asesoría universitaria inicial para informar el sistema de trabajo.</t>
  </si>
  <si>
    <t>Se informó el proceso y fechas próximas para el fin de estadias.</t>
  </si>
  <si>
    <t>PEUTEZ</t>
  </si>
  <si>
    <t>Revisión del capitulo 3.1 Inicio y 3.2 Planeación por la asesora universitaria.</t>
  </si>
  <si>
    <t>Correcciones de los esquemas y diagramas usados.</t>
  </si>
  <si>
    <t>Debido a cambios grandes necesarios en el reporte se tuvo la necesidad de realizar una segunda reunión el mismo día para finalizar la revisión.</t>
  </si>
  <si>
    <t>Se revisó el contenido adicional a los capitulos para finalizar el reporte.</t>
  </si>
  <si>
    <t>Revisión con el asesor universitario del inicio de sesión y página principal.</t>
  </si>
  <si>
    <t>Revisión con el asesor universitario de los diseños de interfaz.</t>
  </si>
  <si>
    <t>Revisión del capitulo 1 por la asesora universitaria.</t>
  </si>
  <si>
    <t>Revisión del capitulo 4, el resumen y los indices.</t>
  </si>
  <si>
    <t>Revisión completa del capitulo 3.</t>
  </si>
  <si>
    <t>Revisión del capitulo 3.3 Ejecución.</t>
  </si>
  <si>
    <t>Se analizaron distintas formas para el manejo del flujo.</t>
  </si>
  <si>
    <t xml:space="preserve"> Se reorganizó la estructura de la ejecución y añadieron los puntos 3.3.5 Seguridad y 3.3.7 Despliegue.</t>
  </si>
  <si>
    <t>Se dio visto bueno y se continuó con el desarrollo de los módulos.</t>
  </si>
  <si>
    <t>Revisión con el equipo de manufactura para el módulo de creación de lotes.</t>
  </si>
  <si>
    <t>Se aceptó el flujo para la creación del lote</t>
  </si>
  <si>
    <t>Revisión de la aprobación del lote y generación de etiquetas.</t>
  </si>
  <si>
    <t>Se aceptó la estructura de las etiquetas y las funciones de aprobación y rechazo del lote.</t>
  </si>
  <si>
    <t>Revisión del módulo de registro de cajas y vinculación de muestras.</t>
  </si>
  <si>
    <t>Se probó junto con el equipo del área de calidad la función para registro de cajas y vinculación a las muestras retenidas.</t>
  </si>
  <si>
    <t>Se validó la manera de registrar y visualizar los estantes de los almaneces.</t>
  </si>
  <si>
    <t>Revisión de la generación de almacenes y sus códigos QR.</t>
  </si>
  <si>
    <t>Revisión de la vinculación de cajas con los estantes de almacén por código QR.</t>
  </si>
  <si>
    <t>Se verificó el flujo completo de la aplicación para detectar posibles errores con los distintos códigos QR generados.</t>
  </si>
  <si>
    <t>Revisión de inspección anual de lote.</t>
  </si>
  <si>
    <t>Con el equipo del área de calidad se validó el fin del flujo del sistema pasando por los módulos planteados al inicio del proyecto.</t>
  </si>
  <si>
    <t>Reunión con la directora del área de calidad.</t>
  </si>
  <si>
    <t>El proyecto fue revisado por la directora de calidad de Vantive México mostrando su aprobación y grandes espectativas para la mejora continua del proceso.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</si>
</sst>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80A]d&quot; de &quot;mmmm&quot; de &quot;yyyy;@"/>
    <numFmt numFmtId="165" formatCode="d/mm/yy;@"/>
  </numFmts>
  <fonts count="13" x14ac:knownFonts="1">
    <font>
      <sz val="10"/>
      <name val="Arial"/>
    </font>
    <font>
      <b/>
      <sz val="10"/>
      <name val="Arial"/>
      <family val="2"/>
    </font>
    <font>
      <b/>
      <sz val="12"/>
      <name val="Arial"/>
      <family val="2"/>
    </font>
    <font>
      <sz val="10"/>
      <name val="Arial"/>
      <family val="2"/>
    </font>
    <font>
      <b/>
      <sz val="9"/>
      <name val="Arial"/>
      <family val="2"/>
    </font>
    <font>
      <sz val="12"/>
      <name val="Arial"/>
      <family val="2"/>
    </font>
    <font>
      <b/>
      <sz val="12"/>
      <color theme="1" tint="4.9989318521683403E-2"/>
      <name val="Arial"/>
      <family val="2"/>
    </font>
    <font>
      <sz val="8"/>
      <name val="Arial"/>
      <family val="2"/>
    </font>
    <font>
      <sz val="6"/>
      <name val="Century Gothic"/>
      <family val="2"/>
    </font>
    <font>
      <sz val="8"/>
      <name val="Century Gothic"/>
      <family val="2"/>
    </font>
    <font>
      <b/>
      <sz val="16"/>
      <name val="Arial"/>
      <family val="2"/>
    </font>
    <font>
      <sz val="12"/>
      <name val="Arial"/>
      <charset val="1"/>
    </font>
    <font>
      <sz val="12"/>
      <color rgb="FF000000"/>
      <name val="Arial"/>
      <family val="2"/>
    </font>
  </fonts>
  <fills count="2">
    <fill>
      <patternFill patternType="none"/>
    </fill>
    <fill>
      <patternFill patternType="gray125"/>
    </fill>
  </fills>
  <borders count="64">
    <border>
      <left/>
      <right/>
      <top/>
      <bottom/>
      <diagonal/>
    </border>
    <border>
      <left style="medium">
        <color theme="1" tint="0.499984740745262"/>
      </left>
      <right/>
      <top style="medium">
        <color theme="1" tint="0.499984740745262"/>
      </top>
      <bottom/>
      <diagonal/>
    </border>
    <border>
      <left/>
      <right/>
      <top style="medium">
        <color theme="1" tint="0.499984740745262"/>
      </top>
      <bottom/>
      <diagonal/>
    </border>
    <border>
      <left/>
      <right style="medium">
        <color theme="1" tint="0.499984740745262"/>
      </right>
      <top style="medium">
        <color theme="1" tint="0.499984740745262"/>
      </top>
      <bottom/>
      <diagonal/>
    </border>
    <border>
      <left style="medium">
        <color theme="1" tint="0.499984740745262"/>
      </left>
      <right/>
      <top/>
      <bottom/>
      <diagonal/>
    </border>
    <border>
      <left/>
      <right style="medium">
        <color theme="1" tint="0.499984740745262"/>
      </right>
      <top/>
      <bottom/>
      <diagonal/>
    </border>
    <border>
      <left style="medium">
        <color theme="1" tint="0.499984740745262"/>
      </left>
      <right/>
      <top/>
      <bottom style="medium">
        <color theme="1" tint="0.499984740745262"/>
      </bottom>
      <diagonal/>
    </border>
    <border>
      <left/>
      <right/>
      <top/>
      <bottom style="medium">
        <color theme="1" tint="0.499984740745262"/>
      </bottom>
      <diagonal/>
    </border>
    <border>
      <left/>
      <right style="medium">
        <color theme="1" tint="0.499984740745262"/>
      </right>
      <top/>
      <bottom style="medium">
        <color theme="1" tint="0.499984740745262"/>
      </bottom>
      <diagonal/>
    </border>
    <border>
      <left style="medium">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style="medium">
        <color theme="1" tint="0.499984740745262"/>
      </right>
      <top style="thin">
        <color theme="1" tint="0.499984740745262"/>
      </top>
      <bottom style="thin">
        <color theme="1" tint="0.499984740745262"/>
      </bottom>
      <diagonal/>
    </border>
    <border>
      <left style="medium">
        <color theme="1" tint="0.499984740745262"/>
      </left>
      <right/>
      <top/>
      <bottom style="thin">
        <color theme="1" tint="0.499984740745262"/>
      </bottom>
      <diagonal/>
    </border>
    <border>
      <left/>
      <right/>
      <top/>
      <bottom style="thin">
        <color theme="1" tint="0.499984740745262"/>
      </bottom>
      <diagonal/>
    </border>
    <border>
      <left/>
      <right style="medium">
        <color theme="1" tint="0.499984740745262"/>
      </right>
      <top/>
      <bottom style="thin">
        <color theme="1" tint="0.499984740745262"/>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right style="thin">
        <color theme="1" tint="0.499984740745262"/>
      </right>
      <top/>
      <bottom/>
      <diagonal/>
    </border>
    <border>
      <left/>
      <right style="thin">
        <color theme="1" tint="0.499984740745262"/>
      </right>
      <top/>
      <bottom style="medium">
        <color theme="1" tint="0.499984740745262"/>
      </bottom>
      <diagonal/>
    </border>
    <border>
      <left/>
      <right style="medium">
        <color theme="1" tint="0.499984740745262"/>
      </right>
      <top style="thin">
        <color theme="1" tint="0.499984740745262"/>
      </top>
      <bottom/>
      <diagonal/>
    </border>
    <border>
      <left style="thin">
        <color theme="1" tint="0.499984740745262"/>
      </left>
      <right/>
      <top/>
      <bottom/>
      <diagonal/>
    </border>
    <border>
      <left style="medium">
        <color theme="1" tint="0.499984740745262"/>
      </left>
      <right/>
      <top style="thin">
        <color theme="1" tint="0.499984740745262"/>
      </top>
      <bottom style="medium">
        <color theme="1" tint="0.499984740745262"/>
      </bottom>
      <diagonal/>
    </border>
    <border>
      <left/>
      <right/>
      <top style="thin">
        <color theme="1" tint="0.499984740745262"/>
      </top>
      <bottom style="medium">
        <color theme="1" tint="0.499984740745262"/>
      </bottom>
      <diagonal/>
    </border>
    <border>
      <left/>
      <right style="medium">
        <color theme="1" tint="0.499984740745262"/>
      </right>
      <top style="thin">
        <color theme="1" tint="0.499984740745262"/>
      </top>
      <bottom style="medium">
        <color theme="1" tint="0.499984740745262"/>
      </bottom>
      <diagonal/>
    </border>
    <border>
      <left style="medium">
        <color theme="1" tint="0.499984740745262"/>
      </left>
      <right style="medium">
        <color theme="1" tint="0.499984740745262"/>
      </right>
      <top style="medium">
        <color theme="1" tint="0.499984740745262"/>
      </top>
      <bottom/>
      <diagonal/>
    </border>
    <border>
      <left style="medium">
        <color theme="1" tint="0.499984740745262"/>
      </left>
      <right style="thin">
        <color theme="1" tint="0.499984740745262"/>
      </right>
      <top style="medium">
        <color theme="1" tint="0.499984740745262"/>
      </top>
      <bottom style="thin">
        <color theme="1" tint="0.499984740745262"/>
      </bottom>
      <diagonal/>
    </border>
    <border>
      <left style="medium">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medium">
        <color theme="1" tint="0.499984740745262"/>
      </right>
      <top style="thin">
        <color theme="1" tint="0.499984740745262"/>
      </top>
      <bottom style="thin">
        <color theme="1" tint="0.499984740745262"/>
      </bottom>
      <diagonal/>
    </border>
    <border>
      <left style="medium">
        <color theme="1" tint="0.499984740745262"/>
      </left>
      <right style="thin">
        <color theme="1" tint="0.499984740745262"/>
      </right>
      <top style="thin">
        <color theme="1" tint="0.499984740745262"/>
      </top>
      <bottom style="medium">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style="thin">
        <color theme="1" tint="0.499984740745262"/>
      </left>
      <right style="medium">
        <color theme="1" tint="0.499984740745262"/>
      </right>
      <top style="thin">
        <color theme="1" tint="0.499984740745262"/>
      </top>
      <bottom style="medium">
        <color theme="1" tint="0.499984740745262"/>
      </bottom>
      <diagonal/>
    </border>
    <border>
      <left style="medium">
        <color theme="1" tint="0.499984740745262"/>
      </left>
      <right/>
      <top style="thin">
        <color theme="1" tint="0.499984740745262"/>
      </top>
      <bottom/>
      <diagonal/>
    </border>
    <border>
      <left style="medium">
        <color theme="0" tint="-0.499984740745262"/>
      </left>
      <right/>
      <top style="medium">
        <color theme="0" tint="-0.499984740745262"/>
      </top>
      <bottom/>
      <diagonal/>
    </border>
    <border>
      <left/>
      <right/>
      <top style="medium">
        <color theme="0" tint="-0.499984740745262"/>
      </top>
      <bottom/>
      <diagonal/>
    </border>
    <border>
      <left/>
      <right style="medium">
        <color theme="0" tint="-0.499984740745262"/>
      </right>
      <top style="medium">
        <color theme="0" tint="-0.499984740745262"/>
      </top>
      <bottom/>
      <diagonal/>
    </border>
    <border>
      <left style="medium">
        <color theme="0" tint="-0.499984740745262"/>
      </left>
      <right/>
      <top/>
      <bottom/>
      <diagonal/>
    </border>
    <border>
      <left/>
      <right style="medium">
        <color theme="0" tint="-0.499984740745262"/>
      </right>
      <top/>
      <bottom/>
      <diagonal/>
    </border>
    <border>
      <left style="medium">
        <color theme="0" tint="-0.499984740745262"/>
      </left>
      <right/>
      <top/>
      <bottom style="medium">
        <color theme="0" tint="-0.499984740745262"/>
      </bottom>
      <diagonal/>
    </border>
    <border>
      <left/>
      <right/>
      <top/>
      <bottom style="medium">
        <color theme="0" tint="-0.499984740745262"/>
      </bottom>
      <diagonal/>
    </border>
    <border>
      <left/>
      <right style="medium">
        <color theme="0" tint="-0.499984740745262"/>
      </right>
      <top/>
      <bottom style="medium">
        <color theme="0" tint="-0.499984740745262"/>
      </bottom>
      <diagonal/>
    </border>
    <border>
      <left/>
      <right/>
      <top/>
      <bottom style="thin">
        <color rgb="FF000000"/>
      </bottom>
      <diagonal/>
    </border>
    <border>
      <left style="thin">
        <color rgb="FF000000"/>
      </left>
      <right/>
      <top style="medium">
        <color theme="1" tint="0.499984740745262"/>
      </top>
      <bottom/>
      <diagonal/>
    </border>
    <border>
      <left style="thin">
        <color rgb="FF000000"/>
      </left>
      <right/>
      <top/>
      <bottom/>
      <diagonal/>
    </border>
    <border>
      <left style="thin">
        <color indexed="64"/>
      </left>
      <right/>
      <top style="thin">
        <color theme="1" tint="0.499984740745262"/>
      </top>
      <bottom/>
      <diagonal/>
    </border>
    <border>
      <left style="thin">
        <color indexed="64"/>
      </left>
      <right/>
      <top/>
      <bottom/>
      <diagonal/>
    </border>
    <border>
      <left/>
      <right style="thin">
        <color rgb="FF000000"/>
      </right>
      <top/>
      <bottom/>
      <diagonal/>
    </border>
    <border>
      <left style="thin">
        <color indexed="64"/>
      </left>
      <right/>
      <top/>
      <bottom style="thin">
        <color rgb="FF000000"/>
      </bottom>
      <diagonal/>
    </border>
    <border>
      <left/>
      <right style="thin">
        <color rgb="FF000000"/>
      </right>
      <top/>
      <bottom style="thin">
        <color rgb="FF000000"/>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indexed="64"/>
      </left>
      <right style="thin">
        <color indexed="64"/>
      </right>
      <top style="thin">
        <color indexed="64"/>
      </top>
      <bottom style="thin">
        <color indexed="64"/>
      </bottom>
      <diagonal/>
    </border>
    <border>
      <left style="medium">
        <color theme="1" tint="0.499984740745262"/>
      </left>
      <right style="medium">
        <color theme="1" tint="0.499984740745262"/>
      </right>
      <top/>
      <bottom/>
      <diagonal/>
    </border>
    <border>
      <left style="medium">
        <color theme="1" tint="0.499984740745262"/>
      </left>
      <right style="thin">
        <color theme="1" tint="0.499984740745262"/>
      </right>
      <top/>
      <bottom style="thin">
        <color theme="1" tint="0.499984740745262"/>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style="medium">
        <color theme="1" tint="0.499984740745262"/>
      </right>
      <top/>
      <bottom style="thin">
        <color theme="1" tint="0.49998474074526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theme="1" tint="0.499984740745262"/>
      </top>
      <bottom style="thin">
        <color theme="1" tint="0.499984740745262"/>
      </bottom>
      <diagonal/>
    </border>
    <border>
      <left/>
      <right style="thin">
        <color indexed="64"/>
      </right>
      <top style="thin">
        <color theme="1" tint="0.499984740745262"/>
      </top>
      <bottom style="thin">
        <color theme="1" tint="0.499984740745262"/>
      </bottom>
      <diagonal/>
    </border>
  </borders>
  <cellStyleXfs count="2">
    <xf numFmtId="0" fontId="0" fillId="0" borderId="0"/>
    <xf numFmtId="0" fontId="3" fillId="0" borderId="0"/>
  </cellStyleXfs>
  <cellXfs count="220">
    <xf numFmtId="0" fontId="0" fillId="0" borderId="0" xfId="0"/>
    <xf numFmtId="0" fontId="3" fillId="0" borderId="0" xfId="1" applyProtection="1">
      <protection locked="0"/>
    </xf>
    <xf numFmtId="0" fontId="5" fillId="0" borderId="0" xfId="1" applyFont="1" applyProtection="1">
      <protection locked="0"/>
    </xf>
    <xf numFmtId="0" fontId="5" fillId="0" borderId="0" xfId="1" applyFont="1"/>
    <xf numFmtId="0" fontId="7" fillId="0" borderId="0" xfId="1" applyFont="1"/>
    <xf numFmtId="0" fontId="2" fillId="0" borderId="0" xfId="0" applyFont="1" applyAlignment="1">
      <alignment vertical="center"/>
    </xf>
    <xf numFmtId="0" fontId="5" fillId="0" borderId="0" xfId="0" applyFont="1" applyAlignment="1" applyProtection="1">
      <alignment vertical="center"/>
      <protection locked="0"/>
    </xf>
    <xf numFmtId="0" fontId="2" fillId="0" borderId="0" xfId="0" applyFont="1" applyAlignment="1" applyProtection="1">
      <alignment horizontal="left" vertical="center"/>
      <protection locked="0"/>
    </xf>
    <xf numFmtId="0" fontId="3" fillId="0" borderId="0" xfId="0" applyFont="1" applyAlignment="1" applyProtection="1">
      <alignment vertical="center"/>
      <protection locked="0"/>
    </xf>
    <xf numFmtId="0" fontId="2" fillId="0" borderId="0" xfId="0" applyFont="1" applyAlignment="1" applyProtection="1">
      <alignment vertical="center"/>
      <protection locked="0"/>
    </xf>
    <xf numFmtId="0" fontId="2" fillId="0" borderId="0" xfId="0" applyFont="1" applyAlignment="1" applyProtection="1">
      <alignment horizontal="center" vertical="center"/>
      <protection locked="0"/>
    </xf>
    <xf numFmtId="0" fontId="6" fillId="0" borderId="0" xfId="0" applyFont="1" applyAlignment="1" applyProtection="1">
      <alignment horizontal="center" vertical="center"/>
      <protection locked="0"/>
    </xf>
    <xf numFmtId="0" fontId="2" fillId="0" borderId="10" xfId="0" applyFont="1" applyBorder="1" applyAlignment="1">
      <alignment vertical="center"/>
    </xf>
    <xf numFmtId="0" fontId="5" fillId="0" borderId="0" xfId="0" applyFont="1" applyAlignment="1" applyProtection="1">
      <alignment horizontal="left" vertical="center"/>
      <protection locked="0"/>
    </xf>
    <xf numFmtId="164" fontId="5" fillId="0" borderId="7" xfId="0" applyNumberFormat="1" applyFont="1" applyBorder="1" applyAlignment="1" applyProtection="1">
      <alignment vertical="center" wrapText="1"/>
      <protection locked="0"/>
    </xf>
    <xf numFmtId="164" fontId="5" fillId="0" borderId="7" xfId="0" applyNumberFormat="1" applyFont="1" applyBorder="1" applyAlignment="1" applyProtection="1">
      <alignment horizontal="left" vertical="center"/>
      <protection locked="0"/>
    </xf>
    <xf numFmtId="164" fontId="5" fillId="0" borderId="8" xfId="0" applyNumberFormat="1" applyFont="1" applyBorder="1" applyAlignment="1" applyProtection="1">
      <alignment horizontal="left" vertical="center"/>
      <protection locked="0"/>
    </xf>
    <xf numFmtId="0" fontId="6" fillId="0" borderId="0" xfId="0" applyFont="1" applyAlignment="1">
      <alignment vertical="center"/>
    </xf>
    <xf numFmtId="0" fontId="8" fillId="0" borderId="0" xfId="0" applyFont="1" applyAlignment="1" applyProtection="1">
      <alignment wrapText="1"/>
      <protection locked="0"/>
    </xf>
    <xf numFmtId="0" fontId="2" fillId="0" borderId="24" xfId="0" applyFont="1" applyBorder="1" applyAlignment="1">
      <alignment horizontal="left" vertical="center"/>
    </xf>
    <xf numFmtId="0" fontId="2" fillId="0" borderId="9" xfId="1" applyFont="1" applyBorder="1" applyAlignment="1">
      <alignment vertical="center"/>
    </xf>
    <xf numFmtId="0" fontId="5" fillId="0" borderId="10" xfId="1" applyFont="1" applyBorder="1" applyAlignment="1">
      <alignment vertical="center"/>
    </xf>
    <xf numFmtId="0" fontId="2" fillId="0" borderId="10" xfId="1" applyFont="1" applyBorder="1" applyAlignment="1">
      <alignment vertical="center"/>
    </xf>
    <xf numFmtId="0" fontId="2" fillId="0" borderId="10" xfId="1" applyFont="1" applyBorder="1" applyAlignment="1">
      <alignment horizontal="right" vertical="center"/>
    </xf>
    <xf numFmtId="0" fontId="5" fillId="0" borderId="10" xfId="1" applyFont="1" applyBorder="1" applyAlignment="1">
      <alignment vertical="center" wrapText="1"/>
    </xf>
    <xf numFmtId="49" fontId="2" fillId="0" borderId="25" xfId="1" applyNumberFormat="1" applyFont="1" applyBorder="1" applyAlignment="1">
      <alignment horizontal="right" vertical="center" wrapText="1"/>
    </xf>
    <xf numFmtId="14" fontId="5" fillId="0" borderId="28" xfId="1" applyNumberFormat="1" applyFont="1" applyBorder="1" applyAlignment="1" applyProtection="1">
      <alignment horizontal="center" vertical="center"/>
      <protection locked="0"/>
    </xf>
    <xf numFmtId="14" fontId="5" fillId="0" borderId="29" xfId="1" applyNumberFormat="1" applyFont="1" applyBorder="1" applyAlignment="1" applyProtection="1">
      <alignment horizontal="center" vertical="center"/>
      <protection locked="0"/>
    </xf>
    <xf numFmtId="14" fontId="5" fillId="0" borderId="32" xfId="1" applyNumberFormat="1" applyFont="1" applyBorder="1" applyAlignment="1" applyProtection="1">
      <alignment horizontal="center" vertical="center"/>
      <protection locked="0"/>
    </xf>
    <xf numFmtId="0" fontId="2" fillId="0" borderId="12" xfId="0" applyFont="1" applyBorder="1" applyAlignment="1">
      <alignment vertical="center"/>
    </xf>
    <xf numFmtId="0" fontId="2" fillId="0" borderId="0" xfId="1" applyFont="1"/>
    <xf numFmtId="0" fontId="2" fillId="0" borderId="12" xfId="1" applyFont="1" applyBorder="1" applyAlignment="1">
      <alignment vertical="center"/>
    </xf>
    <xf numFmtId="0" fontId="5" fillId="0" borderId="13" xfId="1" applyFont="1" applyBorder="1" applyAlignment="1">
      <alignment vertical="center"/>
    </xf>
    <xf numFmtId="0" fontId="1" fillId="0" borderId="37" xfId="1" applyFont="1" applyBorder="1" applyAlignment="1">
      <alignment vertical="top" wrapText="1"/>
    </xf>
    <xf numFmtId="0" fontId="2" fillId="0" borderId="38" xfId="1" applyFont="1" applyBorder="1" applyAlignment="1">
      <alignment vertical="top"/>
    </xf>
    <xf numFmtId="0" fontId="3" fillId="0" borderId="40" xfId="1" applyBorder="1"/>
    <xf numFmtId="0" fontId="3" fillId="0" borderId="42" xfId="1" applyBorder="1"/>
    <xf numFmtId="0" fontId="1" fillId="0" borderId="43" xfId="1" applyFont="1" applyBorder="1" applyAlignment="1">
      <alignment horizontal="right"/>
    </xf>
    <xf numFmtId="0" fontId="5" fillId="0" borderId="5" xfId="0" applyFont="1" applyBorder="1" applyAlignment="1" applyProtection="1">
      <alignment horizontal="left" vertical="center"/>
      <protection locked="0"/>
    </xf>
    <xf numFmtId="0" fontId="5" fillId="0" borderId="10" xfId="0" applyFont="1" applyBorder="1" applyAlignment="1" applyProtection="1">
      <alignment horizontal="left" vertical="center"/>
      <protection locked="0"/>
    </xf>
    <xf numFmtId="0" fontId="5" fillId="0" borderId="0" xfId="0" applyFont="1" applyAlignment="1" applyProtection="1">
      <alignment vertical="center" wrapText="1"/>
      <protection locked="0"/>
    </xf>
    <xf numFmtId="0" fontId="5" fillId="0" borderId="10" xfId="1" applyFont="1" applyBorder="1" applyAlignment="1">
      <alignment horizontal="left" vertical="center"/>
    </xf>
    <xf numFmtId="0" fontId="2" fillId="0" borderId="9" xfId="0" applyFont="1" applyBorder="1" applyAlignment="1">
      <alignment horizontal="left" vertical="center"/>
    </xf>
    <xf numFmtId="0" fontId="2" fillId="0" borderId="9" xfId="1" applyFont="1" applyBorder="1" applyAlignment="1">
      <alignment horizontal="left" vertical="center"/>
    </xf>
    <xf numFmtId="0" fontId="0" fillId="0" borderId="0" xfId="0" applyAlignment="1">
      <alignment wrapText="1"/>
    </xf>
    <xf numFmtId="0" fontId="5" fillId="0" borderId="48" xfId="0" applyFont="1" applyBorder="1" applyAlignment="1">
      <alignment horizontal="left" vertical="center"/>
    </xf>
    <xf numFmtId="0" fontId="5" fillId="0" borderId="0" xfId="0" applyFont="1" applyAlignment="1">
      <alignment horizontal="left" vertical="center"/>
    </xf>
    <xf numFmtId="0" fontId="5" fillId="0" borderId="49" xfId="0" applyFont="1" applyBorder="1" applyAlignment="1">
      <alignment horizontal="left" vertical="center"/>
    </xf>
    <xf numFmtId="0" fontId="5" fillId="0" borderId="50" xfId="0" applyFont="1" applyBorder="1" applyAlignment="1">
      <alignment horizontal="left" vertical="center"/>
    </xf>
    <xf numFmtId="0" fontId="5" fillId="0" borderId="44" xfId="0" applyFont="1" applyBorder="1" applyAlignment="1">
      <alignment horizontal="left" vertical="center"/>
    </xf>
    <xf numFmtId="0" fontId="5" fillId="0" borderId="51" xfId="0" applyFont="1" applyBorder="1" applyAlignment="1">
      <alignment horizontal="left" vertical="center"/>
    </xf>
    <xf numFmtId="0" fontId="5" fillId="0" borderId="16" xfId="0" applyFont="1" applyBorder="1" applyAlignment="1" applyProtection="1">
      <alignment horizontal="left" vertical="center" wrapText="1"/>
      <protection locked="0"/>
    </xf>
    <xf numFmtId="0" fontId="5" fillId="0" borderId="17" xfId="0" applyFont="1" applyBorder="1" applyAlignment="1" applyProtection="1">
      <alignment horizontal="left" vertical="center" wrapText="1"/>
      <protection locked="0"/>
    </xf>
    <xf numFmtId="0" fontId="5" fillId="0" borderId="48" xfId="0" applyFont="1" applyBorder="1" applyAlignment="1">
      <alignment horizontal="justify" wrapText="1"/>
    </xf>
    <xf numFmtId="0" fontId="5" fillId="0" borderId="0" xfId="0" applyFont="1" applyAlignment="1">
      <alignment horizontal="justify" wrapText="1"/>
    </xf>
    <xf numFmtId="0" fontId="5" fillId="0" borderId="5" xfId="0" applyFont="1" applyBorder="1" applyAlignment="1">
      <alignment horizontal="justify" wrapText="1"/>
    </xf>
    <xf numFmtId="0" fontId="5" fillId="0" borderId="4" xfId="0" applyFont="1" applyBorder="1" applyAlignment="1" applyProtection="1">
      <alignment horizontal="justify" vertical="top" wrapText="1"/>
      <protection locked="0"/>
    </xf>
    <xf numFmtId="0" fontId="5" fillId="0" borderId="0" xfId="0" applyFont="1" applyAlignment="1" applyProtection="1">
      <alignment horizontal="justify" vertical="top" wrapText="1"/>
      <protection locked="0"/>
    </xf>
    <xf numFmtId="0" fontId="5" fillId="0" borderId="5" xfId="0" applyFont="1" applyBorder="1" applyAlignment="1" applyProtection="1">
      <alignment horizontal="justify" vertical="top" wrapText="1"/>
      <protection locked="0"/>
    </xf>
    <xf numFmtId="0" fontId="5" fillId="0" borderId="12" xfId="0" applyFont="1" applyBorder="1" applyAlignment="1" applyProtection="1">
      <alignment horizontal="justify" vertical="top" wrapText="1"/>
      <protection locked="0"/>
    </xf>
    <xf numFmtId="0" fontId="5" fillId="0" borderId="13" xfId="0" applyFont="1" applyBorder="1" applyAlignment="1" applyProtection="1">
      <alignment horizontal="justify" vertical="top" wrapText="1"/>
      <protection locked="0"/>
    </xf>
    <xf numFmtId="0" fontId="5" fillId="0" borderId="14" xfId="0" applyFont="1" applyBorder="1" applyAlignment="1" applyProtection="1">
      <alignment horizontal="justify" vertical="top" wrapText="1"/>
      <protection locked="0"/>
    </xf>
    <xf numFmtId="0" fontId="5" fillId="0" borderId="46" xfId="0" applyFont="1" applyBorder="1" applyAlignment="1">
      <alignment horizontal="left" vertical="center"/>
    </xf>
    <xf numFmtId="0" fontId="5" fillId="0" borderId="5" xfId="0" applyFont="1" applyBorder="1" applyAlignment="1">
      <alignment horizontal="left" vertical="center"/>
    </xf>
    <xf numFmtId="0" fontId="6" fillId="0" borderId="13" xfId="0" applyFont="1" applyBorder="1" applyAlignment="1">
      <alignment horizontal="center" vertical="center"/>
    </xf>
    <xf numFmtId="0" fontId="5" fillId="0" borderId="7" xfId="0" applyFont="1" applyBorder="1" applyAlignment="1" applyProtection="1">
      <alignment horizontal="center" vertical="center"/>
      <protection locked="0"/>
    </xf>
    <xf numFmtId="0" fontId="3" fillId="0" borderId="8" xfId="0" applyFont="1" applyBorder="1" applyAlignment="1" applyProtection="1">
      <alignment horizontal="center" vertical="center"/>
      <protection locked="0"/>
    </xf>
    <xf numFmtId="14" fontId="5" fillId="0" borderId="23" xfId="0" applyNumberFormat="1" applyFont="1" applyBorder="1" applyAlignment="1" applyProtection="1">
      <alignment horizontal="center" vertical="center"/>
      <protection locked="0"/>
    </xf>
    <xf numFmtId="0" fontId="5" fillId="0" borderId="5" xfId="0" applyFont="1" applyBorder="1" applyAlignment="1" applyProtection="1">
      <alignment horizontal="center" vertical="center"/>
      <protection locked="0"/>
    </xf>
    <xf numFmtId="0" fontId="5" fillId="0" borderId="7" xfId="0" applyFont="1" applyBorder="1" applyAlignment="1" applyProtection="1">
      <alignment vertical="center" wrapText="1"/>
      <protection locked="0"/>
    </xf>
    <xf numFmtId="0" fontId="5" fillId="0" borderId="21" xfId="0" applyFont="1" applyBorder="1" applyAlignment="1" applyProtection="1">
      <alignment vertical="center" wrapText="1"/>
      <protection locked="0"/>
    </xf>
    <xf numFmtId="0" fontId="5" fillId="0" borderId="0" xfId="0" applyFont="1" applyAlignment="1" applyProtection="1">
      <alignment horizontal="center" vertical="center" wrapText="1"/>
      <protection locked="0"/>
    </xf>
    <xf numFmtId="0" fontId="1" fillId="0" borderId="37" xfId="0" applyFont="1" applyBorder="1" applyAlignment="1">
      <alignment horizontal="center" vertical="center" wrapText="1"/>
    </xf>
    <xf numFmtId="0" fontId="1" fillId="0" borderId="38" xfId="0" applyFont="1" applyBorder="1" applyAlignment="1">
      <alignment horizontal="center" vertical="center" wrapText="1"/>
    </xf>
    <xf numFmtId="0" fontId="1" fillId="0" borderId="0" xfId="0" applyFont="1" applyAlignment="1">
      <alignment horizontal="center" vertical="center" wrapText="1"/>
    </xf>
    <xf numFmtId="0" fontId="1" fillId="0" borderId="40" xfId="0" applyFont="1" applyBorder="1" applyAlignment="1">
      <alignment horizontal="center" vertical="center" wrapText="1"/>
    </xf>
    <xf numFmtId="0" fontId="1" fillId="0" borderId="42" xfId="0" applyFont="1" applyBorder="1" applyAlignment="1">
      <alignment horizontal="center" vertical="center" wrapText="1"/>
    </xf>
    <xf numFmtId="0" fontId="1" fillId="0" borderId="43" xfId="0" applyFont="1" applyBorder="1" applyAlignment="1">
      <alignment horizontal="center" vertical="center" wrapText="1"/>
    </xf>
    <xf numFmtId="0" fontId="2" fillId="0" borderId="45"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35" xfId="0" applyFont="1" applyBorder="1" applyAlignment="1">
      <alignment horizontal="center" vertical="center"/>
    </xf>
    <xf numFmtId="0" fontId="2" fillId="0" borderId="16" xfId="0" applyFont="1" applyBorder="1" applyAlignment="1">
      <alignment horizontal="center" vertical="center"/>
    </xf>
    <xf numFmtId="0" fontId="2" fillId="0" borderId="17" xfId="0" applyFont="1" applyBorder="1" applyAlignment="1">
      <alignment horizontal="center" vertical="center"/>
    </xf>
    <xf numFmtId="0" fontId="2" fillId="0" borderId="12" xfId="0" applyFont="1" applyBorder="1" applyAlignment="1">
      <alignment horizontal="center" vertical="center"/>
    </xf>
    <xf numFmtId="0" fontId="2" fillId="0" borderId="13" xfId="0" applyFont="1" applyBorder="1" applyAlignment="1">
      <alignment horizontal="center" vertical="center"/>
    </xf>
    <xf numFmtId="0" fontId="2" fillId="0" borderId="19" xfId="0" applyFont="1" applyBorder="1" applyAlignment="1">
      <alignment horizontal="center" vertical="center"/>
    </xf>
    <xf numFmtId="0" fontId="2" fillId="0" borderId="15"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18" xfId="0" applyFont="1" applyBorder="1" applyAlignment="1">
      <alignment horizontal="center" vertical="center" wrapText="1"/>
    </xf>
    <xf numFmtId="0" fontId="2" fillId="0" borderId="14" xfId="0" applyFont="1" applyBorder="1" applyAlignment="1">
      <alignment horizontal="center" vertical="center" wrapText="1"/>
    </xf>
    <xf numFmtId="164" fontId="5" fillId="0" borderId="7" xfId="0" applyNumberFormat="1" applyFont="1" applyBorder="1" applyAlignment="1" applyProtection="1">
      <alignment horizontal="left" vertical="center" wrapText="1"/>
      <protection locked="0"/>
    </xf>
    <xf numFmtId="0" fontId="10" fillId="0" borderId="36" xfId="0" applyFont="1" applyBorder="1" applyAlignment="1">
      <alignment horizontal="center" vertical="center"/>
    </xf>
    <xf numFmtId="0" fontId="10" fillId="0" borderId="37" xfId="0" applyFont="1" applyBorder="1" applyAlignment="1">
      <alignment horizontal="center" vertical="center"/>
    </xf>
    <xf numFmtId="0" fontId="1" fillId="0" borderId="39" xfId="0" applyFont="1" applyBorder="1" applyAlignment="1">
      <alignment horizontal="center"/>
    </xf>
    <xf numFmtId="0" fontId="1" fillId="0" borderId="0" xfId="0" applyFont="1" applyAlignment="1">
      <alignment horizontal="center"/>
    </xf>
    <xf numFmtId="0" fontId="4" fillId="0" borderId="41" xfId="0" applyFont="1" applyBorder="1" applyAlignment="1">
      <alignment horizontal="center" vertical="top"/>
    </xf>
    <xf numFmtId="0" fontId="4" fillId="0" borderId="42" xfId="0" applyFont="1" applyBorder="1" applyAlignment="1">
      <alignment horizontal="center" vertical="top"/>
    </xf>
    <xf numFmtId="0" fontId="5" fillId="0" borderId="13" xfId="0" applyFont="1" applyBorder="1" applyAlignment="1" applyProtection="1">
      <alignment horizontal="left" vertical="center" wrapText="1"/>
      <protection locked="0"/>
    </xf>
    <xf numFmtId="0" fontId="5" fillId="0" borderId="14" xfId="0" applyFont="1" applyBorder="1" applyAlignment="1" applyProtection="1">
      <alignment horizontal="left" vertical="center" wrapText="1"/>
      <protection locked="0"/>
    </xf>
    <xf numFmtId="165" fontId="5" fillId="0" borderId="10" xfId="0" applyNumberFormat="1" applyFont="1" applyBorder="1" applyAlignment="1" applyProtection="1">
      <alignment horizontal="left" vertical="center" wrapText="1"/>
      <protection locked="0"/>
    </xf>
    <xf numFmtId="165" fontId="5" fillId="0" borderId="10" xfId="0" applyNumberFormat="1" applyFont="1" applyBorder="1" applyAlignment="1" applyProtection="1">
      <alignment horizontal="left" vertical="center"/>
      <protection locked="0"/>
    </xf>
    <xf numFmtId="165" fontId="5" fillId="0" borderId="11" xfId="0" applyNumberFormat="1" applyFont="1" applyBorder="1" applyAlignment="1" applyProtection="1">
      <alignment horizontal="left" vertical="center"/>
      <protection locked="0"/>
    </xf>
    <xf numFmtId="0" fontId="5" fillId="0" borderId="0" xfId="0" applyFont="1" applyAlignment="1" applyProtection="1">
      <alignment horizontal="left" vertical="center"/>
      <protection locked="0"/>
    </xf>
    <xf numFmtId="0" fontId="5" fillId="0" borderId="5" xfId="0" applyFont="1" applyBorder="1" applyAlignment="1" applyProtection="1">
      <alignment horizontal="left" vertical="center"/>
      <protection locked="0"/>
    </xf>
    <xf numFmtId="0" fontId="5" fillId="0" borderId="10" xfId="0" applyFont="1" applyBorder="1" applyAlignment="1" applyProtection="1">
      <alignment horizontal="left" vertical="center"/>
      <protection locked="0"/>
    </xf>
    <xf numFmtId="0" fontId="5" fillId="0" borderId="10" xfId="0" applyFont="1" applyBorder="1" applyAlignment="1">
      <alignment horizontal="left" vertical="center"/>
    </xf>
    <xf numFmtId="0" fontId="5" fillId="0" borderId="11" xfId="0" applyFont="1" applyBorder="1" applyAlignment="1">
      <alignment horizontal="left" vertical="center"/>
    </xf>
    <xf numFmtId="0" fontId="9" fillId="0" borderId="0" xfId="0" applyFont="1" applyAlignment="1" applyProtection="1">
      <alignment horizontal="center" wrapText="1"/>
      <protection locked="0"/>
    </xf>
    <xf numFmtId="0" fontId="8" fillId="0" borderId="0" xfId="0" applyFont="1" applyAlignment="1" applyProtection="1">
      <alignment horizontal="center" wrapText="1"/>
      <protection locked="0"/>
    </xf>
    <xf numFmtId="0" fontId="5" fillId="0" borderId="4" xfId="0" applyFont="1" applyBorder="1" applyAlignment="1" applyProtection="1">
      <alignment horizontal="left" vertical="center" wrapText="1"/>
      <protection locked="0"/>
    </xf>
    <xf numFmtId="0" fontId="5" fillId="0" borderId="0" xfId="0" applyFont="1" applyAlignment="1" applyProtection="1">
      <alignment horizontal="left" vertical="center" wrapText="1"/>
      <protection locked="0"/>
    </xf>
    <xf numFmtId="0" fontId="5" fillId="0" borderId="20" xfId="0" applyFont="1" applyBorder="1" applyAlignment="1" applyProtection="1">
      <alignment horizontal="left" vertical="center" wrapText="1"/>
      <protection locked="0"/>
    </xf>
    <xf numFmtId="0" fontId="5" fillId="0" borderId="4" xfId="0" applyFont="1" applyBorder="1" applyAlignment="1" applyProtection="1">
      <alignment horizontal="left" wrapText="1"/>
      <protection locked="0"/>
    </xf>
    <xf numFmtId="0" fontId="5" fillId="0" borderId="0" xfId="0" applyFont="1" applyAlignment="1" applyProtection="1">
      <alignment horizontal="left" wrapText="1"/>
      <protection locked="0"/>
    </xf>
    <xf numFmtId="0" fontId="5" fillId="0" borderId="20" xfId="0" applyFont="1" applyBorder="1" applyAlignment="1" applyProtection="1">
      <alignment horizontal="left" wrapText="1"/>
      <protection locked="0"/>
    </xf>
    <xf numFmtId="0" fontId="5" fillId="0" borderId="4" xfId="0" applyFont="1" applyBorder="1" applyAlignment="1" applyProtection="1">
      <alignment vertical="center" wrapText="1"/>
      <protection locked="0"/>
    </xf>
    <xf numFmtId="0" fontId="5" fillId="0" borderId="0" xfId="0" applyFont="1" applyAlignment="1" applyProtection="1">
      <alignment vertical="center" wrapText="1"/>
      <protection locked="0"/>
    </xf>
    <xf numFmtId="0" fontId="5" fillId="0" borderId="20" xfId="0" applyFont="1" applyBorder="1" applyAlignment="1" applyProtection="1">
      <alignment vertical="center" wrapText="1"/>
      <protection locked="0"/>
    </xf>
    <xf numFmtId="14" fontId="5" fillId="0" borderId="5" xfId="0" applyNumberFormat="1" applyFont="1" applyBorder="1" applyAlignment="1" applyProtection="1">
      <alignment horizontal="center" vertical="center"/>
      <protection locked="0"/>
    </xf>
    <xf numFmtId="14" fontId="5" fillId="0" borderId="23" xfId="0" applyNumberFormat="1" applyFont="1" applyBorder="1" applyAlignment="1" applyProtection="1">
      <alignment horizontal="center"/>
      <protection locked="0"/>
    </xf>
    <xf numFmtId="14" fontId="5" fillId="0" borderId="5" xfId="0" applyNumberFormat="1" applyFont="1" applyBorder="1" applyAlignment="1" applyProtection="1">
      <alignment horizontal="center"/>
      <protection locked="0"/>
    </xf>
    <xf numFmtId="0" fontId="2" fillId="0" borderId="0" xfId="0" applyFont="1" applyAlignment="1">
      <alignment horizontal="center" vertical="center"/>
    </xf>
    <xf numFmtId="0" fontId="5" fillId="0" borderId="0" xfId="0" applyFont="1" applyAlignment="1">
      <alignment vertical="center"/>
    </xf>
    <xf numFmtId="0" fontId="5" fillId="0" borderId="12" xfId="0" applyFont="1" applyBorder="1" applyAlignment="1" applyProtection="1">
      <alignment horizontal="left" vertical="top" wrapText="1"/>
      <protection locked="0"/>
    </xf>
    <xf numFmtId="0" fontId="5" fillId="0" borderId="13" xfId="0" applyFont="1" applyBorder="1" applyAlignment="1" applyProtection="1">
      <alignment horizontal="left" vertical="top" wrapText="1"/>
      <protection locked="0"/>
    </xf>
    <xf numFmtId="0" fontId="5" fillId="0" borderId="14" xfId="0" applyFont="1" applyBorder="1" applyAlignment="1" applyProtection="1">
      <alignment horizontal="left" vertical="top" wrapText="1"/>
      <protection locked="0"/>
    </xf>
    <xf numFmtId="0" fontId="12" fillId="0" borderId="4" xfId="0" applyFont="1" applyBorder="1" applyAlignment="1" applyProtection="1">
      <alignment horizontal="justify" vertical="justify" wrapText="1"/>
      <protection locked="0"/>
    </xf>
    <xf numFmtId="0" fontId="5" fillId="0" borderId="0" xfId="0" applyFont="1" applyAlignment="1" applyProtection="1">
      <alignment horizontal="justify" vertical="justify" wrapText="1"/>
      <protection locked="0"/>
    </xf>
    <xf numFmtId="0" fontId="5" fillId="0" borderId="20" xfId="0" applyFont="1" applyBorder="1" applyAlignment="1" applyProtection="1">
      <alignment horizontal="justify" vertical="justify" wrapText="1"/>
      <protection locked="0"/>
    </xf>
    <xf numFmtId="0" fontId="2" fillId="0" borderId="10" xfId="0" applyFont="1" applyBorder="1" applyAlignment="1" applyProtection="1">
      <alignment horizontal="right" vertical="center"/>
      <protection locked="0"/>
    </xf>
    <xf numFmtId="0" fontId="5" fillId="0" borderId="11" xfId="0" applyFont="1" applyBorder="1" applyAlignment="1" applyProtection="1">
      <alignment horizontal="left" vertical="center"/>
      <protection locked="0"/>
    </xf>
    <xf numFmtId="0" fontId="2" fillId="0" borderId="1" xfId="0" applyFont="1" applyBorder="1" applyAlignment="1">
      <alignment horizontal="left" vertical="center"/>
    </xf>
    <xf numFmtId="0" fontId="2" fillId="0" borderId="2" xfId="0" applyFont="1" applyBorder="1" applyAlignment="1">
      <alignment horizontal="left" vertical="center"/>
    </xf>
    <xf numFmtId="0" fontId="5" fillId="0" borderId="4" xfId="0" applyFont="1" applyBorder="1" applyAlignment="1" applyProtection="1">
      <alignment horizontal="left" vertical="top" wrapText="1"/>
      <protection locked="0"/>
    </xf>
    <xf numFmtId="0" fontId="5" fillId="0" borderId="0" xfId="0" applyFont="1" applyAlignment="1" applyProtection="1">
      <alignment horizontal="left" vertical="top" wrapText="1"/>
      <protection locked="0"/>
    </xf>
    <xf numFmtId="0" fontId="5" fillId="0" borderId="5" xfId="0" applyFont="1" applyBorder="1" applyAlignment="1" applyProtection="1">
      <alignment horizontal="left" vertical="top" wrapText="1"/>
      <protection locked="0"/>
    </xf>
    <xf numFmtId="0" fontId="5" fillId="0" borderId="6" xfId="0" applyFont="1" applyBorder="1" applyAlignment="1" applyProtection="1">
      <alignment horizontal="left" vertical="top" wrapText="1"/>
      <protection locked="0"/>
    </xf>
    <xf numFmtId="0" fontId="5" fillId="0" borderId="7" xfId="0" applyFont="1" applyBorder="1" applyAlignment="1" applyProtection="1">
      <alignment horizontal="left" vertical="top" wrapText="1"/>
      <protection locked="0"/>
    </xf>
    <xf numFmtId="0" fontId="5" fillId="0" borderId="8" xfId="0" applyFont="1" applyBorder="1" applyAlignment="1" applyProtection="1">
      <alignment horizontal="left" vertical="top" wrapText="1"/>
      <protection locked="0"/>
    </xf>
    <xf numFmtId="0" fontId="2" fillId="0" borderId="35" xfId="0" applyFont="1" applyBorder="1" applyAlignment="1">
      <alignment horizontal="left"/>
    </xf>
    <xf numFmtId="0" fontId="2" fillId="0" borderId="16" xfId="0" applyFont="1" applyBorder="1" applyAlignment="1">
      <alignment horizontal="left"/>
    </xf>
    <xf numFmtId="0" fontId="2" fillId="0" borderId="22" xfId="0" applyFont="1" applyBorder="1" applyAlignment="1">
      <alignment horizontal="left"/>
    </xf>
    <xf numFmtId="0" fontId="2" fillId="0" borderId="47" xfId="0" applyFont="1" applyBorder="1" applyAlignment="1">
      <alignment horizontal="left" vertical="center"/>
    </xf>
    <xf numFmtId="0" fontId="2" fillId="0" borderId="16" xfId="0" applyFont="1" applyBorder="1" applyAlignment="1">
      <alignment horizontal="left" vertical="center"/>
    </xf>
    <xf numFmtId="0" fontId="2" fillId="0" borderId="22" xfId="0" applyFont="1" applyBorder="1" applyAlignment="1">
      <alignment horizontal="left" vertical="center"/>
    </xf>
    <xf numFmtId="0" fontId="2" fillId="0" borderId="4" xfId="0" applyFont="1" applyBorder="1" applyAlignment="1">
      <alignment horizontal="left" vertical="center"/>
    </xf>
    <xf numFmtId="0" fontId="2" fillId="0" borderId="0" xfId="0" applyFont="1" applyAlignment="1">
      <alignment horizontal="left" vertical="center"/>
    </xf>
    <xf numFmtId="0" fontId="2" fillId="0" borderId="5" xfId="0" applyFont="1" applyBorder="1" applyAlignment="1">
      <alignment horizontal="left" vertical="center"/>
    </xf>
    <xf numFmtId="0" fontId="11" fillId="0" borderId="48" xfId="0" applyFont="1" applyBorder="1" applyAlignment="1">
      <alignment horizontal="justify" wrapText="1"/>
    </xf>
    <xf numFmtId="0" fontId="11" fillId="0" borderId="0" xfId="0" applyFont="1" applyAlignment="1">
      <alignment horizontal="justify" wrapText="1"/>
    </xf>
    <xf numFmtId="0" fontId="11" fillId="0" borderId="5" xfId="0" applyFont="1" applyBorder="1" applyAlignment="1">
      <alignment horizontal="justify" wrapText="1"/>
    </xf>
    <xf numFmtId="14" fontId="5" fillId="0" borderId="0" xfId="0" applyNumberFormat="1" applyFont="1" applyAlignment="1" applyProtection="1">
      <alignment horizontal="center" vertical="center"/>
      <protection locked="0"/>
    </xf>
    <xf numFmtId="0" fontId="2" fillId="0" borderId="0" xfId="1" applyFont="1" applyAlignment="1">
      <alignment horizontal="center" vertical="center"/>
    </xf>
    <xf numFmtId="0" fontId="5" fillId="0" borderId="30" xfId="1" applyFont="1" applyBorder="1" applyAlignment="1" applyProtection="1">
      <alignment horizontal="center" vertical="center"/>
      <protection locked="0"/>
    </xf>
    <xf numFmtId="0" fontId="5" fillId="0" borderId="33" xfId="1" applyFont="1" applyBorder="1" applyAlignment="1" applyProtection="1">
      <alignment horizontal="center" vertical="center"/>
      <protection locked="0"/>
    </xf>
    <xf numFmtId="0" fontId="2" fillId="0" borderId="13" xfId="1" applyFont="1" applyBorder="1" applyAlignment="1">
      <alignment horizontal="center"/>
    </xf>
    <xf numFmtId="0" fontId="5" fillId="0" borderId="33" xfId="1" applyFont="1" applyBorder="1" applyAlignment="1" applyProtection="1">
      <alignment horizontal="left" vertical="center"/>
      <protection locked="0"/>
    </xf>
    <xf numFmtId="0" fontId="5" fillId="0" borderId="31" xfId="1" applyFont="1" applyBorder="1" applyAlignment="1" applyProtection="1">
      <alignment horizontal="center" vertical="center"/>
      <protection locked="0"/>
    </xf>
    <xf numFmtId="0" fontId="2" fillId="0" borderId="13" xfId="1" applyFont="1" applyBorder="1" applyAlignment="1" applyProtection="1">
      <alignment horizontal="center"/>
      <protection locked="0"/>
    </xf>
    <xf numFmtId="0" fontId="5" fillId="0" borderId="34" xfId="1" applyFont="1" applyBorder="1" applyAlignment="1" applyProtection="1">
      <alignment horizontal="center" vertical="center"/>
      <protection locked="0"/>
    </xf>
    <xf numFmtId="0" fontId="5" fillId="0" borderId="10" xfId="1" applyFont="1" applyBorder="1" applyAlignment="1">
      <alignment horizontal="left" vertical="center"/>
    </xf>
    <xf numFmtId="0" fontId="5" fillId="0" borderId="11" xfId="1" applyFont="1" applyBorder="1" applyAlignment="1">
      <alignment horizontal="left" vertical="center"/>
    </xf>
    <xf numFmtId="0" fontId="5" fillId="0" borderId="10" xfId="1" applyFont="1" applyBorder="1" applyAlignment="1">
      <alignment horizontal="left" vertical="center" wrapText="1"/>
    </xf>
    <xf numFmtId="0" fontId="5" fillId="0" borderId="11" xfId="1" applyFont="1" applyBorder="1" applyAlignment="1">
      <alignment horizontal="left" vertical="center" wrapText="1"/>
    </xf>
    <xf numFmtId="0" fontId="2" fillId="0" borderId="27" xfId="1" applyFont="1" applyBorder="1" applyAlignment="1">
      <alignment horizontal="center" vertical="center" wrapText="1"/>
    </xf>
    <xf numFmtId="165" fontId="5" fillId="0" borderId="25" xfId="1" applyNumberFormat="1" applyFont="1" applyBorder="1" applyAlignment="1">
      <alignment horizontal="left" vertical="center" wrapText="1"/>
    </xf>
    <xf numFmtId="165" fontId="5" fillId="0" borderId="25" xfId="1" applyNumberFormat="1" applyFont="1" applyBorder="1" applyAlignment="1">
      <alignment horizontal="left" vertical="center"/>
    </xf>
    <xf numFmtId="165" fontId="5" fillId="0" borderId="26" xfId="1" applyNumberFormat="1" applyFont="1" applyBorder="1" applyAlignment="1">
      <alignment horizontal="left" vertical="center"/>
    </xf>
    <xf numFmtId="0" fontId="2" fillId="0" borderId="27" xfId="1" applyFont="1" applyBorder="1" applyAlignment="1">
      <alignment horizontal="center" vertical="center"/>
    </xf>
    <xf numFmtId="0" fontId="2" fillId="0" borderId="9" xfId="0" applyFont="1" applyBorder="1" applyAlignment="1">
      <alignment horizontal="left" vertical="center"/>
    </xf>
    <xf numFmtId="0" fontId="2" fillId="0" borderId="10" xfId="0" applyFont="1" applyBorder="1" applyAlignment="1">
      <alignment horizontal="left" vertical="center"/>
    </xf>
    <xf numFmtId="0" fontId="2" fillId="0" borderId="9" xfId="1" applyFont="1" applyBorder="1" applyAlignment="1">
      <alignment horizontal="left" vertical="center"/>
    </xf>
    <xf numFmtId="0" fontId="2" fillId="0" borderId="10" xfId="1" applyFont="1" applyBorder="1" applyAlignment="1">
      <alignment horizontal="left" vertical="center"/>
    </xf>
    <xf numFmtId="0" fontId="2" fillId="0" borderId="24" xfId="1" applyFont="1" applyBorder="1" applyAlignment="1">
      <alignment horizontal="left" vertical="center"/>
    </xf>
    <xf numFmtId="0" fontId="5" fillId="0" borderId="25" xfId="1" applyFont="1" applyBorder="1" applyAlignment="1">
      <alignment horizontal="left" vertical="center"/>
    </xf>
    <xf numFmtId="0" fontId="10" fillId="0" borderId="36" xfId="1" applyFont="1" applyBorder="1" applyAlignment="1">
      <alignment horizontal="center" vertical="center"/>
    </xf>
    <xf numFmtId="0" fontId="10" fillId="0" borderId="37" xfId="1" applyFont="1" applyBorder="1" applyAlignment="1">
      <alignment horizontal="center" vertical="center"/>
    </xf>
    <xf numFmtId="0" fontId="1" fillId="0" borderId="39" xfId="1" applyFont="1" applyBorder="1" applyAlignment="1">
      <alignment horizontal="center" vertical="center"/>
    </xf>
    <xf numFmtId="0" fontId="1" fillId="0" borderId="0" xfId="1" applyFont="1" applyAlignment="1">
      <alignment horizontal="center" vertical="center"/>
    </xf>
    <xf numFmtId="0" fontId="4" fillId="0" borderId="41" xfId="1" applyFont="1" applyBorder="1" applyAlignment="1">
      <alignment horizontal="center" vertical="top"/>
    </xf>
    <xf numFmtId="0" fontId="4" fillId="0" borderId="42" xfId="1" applyFont="1" applyBorder="1" applyAlignment="1">
      <alignment horizontal="center" vertical="top"/>
    </xf>
    <xf numFmtId="0" fontId="5" fillId="0" borderId="13" xfId="1" applyFont="1" applyBorder="1" applyAlignment="1">
      <alignment horizontal="left" vertical="center" wrapText="1"/>
    </xf>
    <xf numFmtId="0" fontId="5" fillId="0" borderId="14" xfId="1" applyFont="1" applyBorder="1" applyAlignment="1">
      <alignment horizontal="left" vertical="center" wrapText="1"/>
    </xf>
    <xf numFmtId="0" fontId="5" fillId="0" borderId="30" xfId="1" applyFont="1" applyBorder="1" applyAlignment="1" applyProtection="1">
      <alignment horizontal="left" vertical="center" wrapText="1"/>
      <protection locked="0"/>
    </xf>
    <xf numFmtId="0" fontId="5" fillId="0" borderId="30" xfId="1" applyFont="1" applyBorder="1" applyAlignment="1" applyProtection="1">
      <alignment horizontal="center" vertical="center" wrapText="1"/>
      <protection locked="0"/>
    </xf>
    <xf numFmtId="0" fontId="5" fillId="0" borderId="52" xfId="1" applyFont="1" applyBorder="1" applyAlignment="1" applyProtection="1">
      <alignment horizontal="center" vertical="center" wrapText="1"/>
      <protection locked="0"/>
    </xf>
    <xf numFmtId="0" fontId="5" fillId="0" borderId="53" xfId="1" applyFont="1" applyBorder="1" applyAlignment="1" applyProtection="1">
      <alignment horizontal="center" vertical="center" wrapText="1"/>
      <protection locked="0"/>
    </xf>
    <xf numFmtId="0" fontId="5" fillId="0" borderId="52" xfId="1" applyFont="1" applyBorder="1" applyAlignment="1" applyProtection="1">
      <alignment horizontal="center" vertical="center"/>
      <protection locked="0"/>
    </xf>
    <xf numFmtId="0" fontId="5" fillId="0" borderId="11" xfId="1" applyFont="1" applyBorder="1" applyAlignment="1" applyProtection="1">
      <alignment horizontal="center" vertical="center"/>
      <protection locked="0"/>
    </xf>
    <xf numFmtId="0" fontId="5" fillId="0" borderId="55" xfId="1" applyFont="1" applyBorder="1" applyAlignment="1">
      <alignment vertical="center" wrapText="1"/>
    </xf>
    <xf numFmtId="0" fontId="2" fillId="0" borderId="55" xfId="1" applyFont="1" applyBorder="1" applyAlignment="1">
      <alignment horizontal="center" vertical="center"/>
    </xf>
    <xf numFmtId="0" fontId="2" fillId="0" borderId="55" xfId="1" applyFont="1" applyBorder="1" applyAlignment="1">
      <alignment horizontal="center" vertical="center" wrapText="1"/>
    </xf>
    <xf numFmtId="14" fontId="5" fillId="0" borderId="56" xfId="1" applyNumberFormat="1" applyFont="1" applyBorder="1" applyAlignment="1" applyProtection="1">
      <alignment horizontal="center" vertical="center"/>
      <protection locked="0"/>
    </xf>
    <xf numFmtId="0" fontId="5" fillId="0" borderId="57" xfId="1" applyFont="1" applyBorder="1" applyAlignment="1" applyProtection="1">
      <alignment horizontal="center" vertical="center"/>
      <protection locked="0"/>
    </xf>
    <xf numFmtId="0" fontId="5" fillId="0" borderId="58" xfId="1" applyFont="1" applyBorder="1" applyAlignment="1" applyProtection="1">
      <alignment horizontal="center" vertical="center"/>
      <protection locked="0"/>
    </xf>
    <xf numFmtId="0" fontId="5" fillId="0" borderId="59" xfId="1" applyFont="1" applyBorder="1" applyAlignment="1" applyProtection="1">
      <alignment horizontal="center"/>
      <protection locked="0"/>
    </xf>
    <xf numFmtId="0" fontId="5" fillId="0" borderId="61" xfId="1" applyFont="1" applyBorder="1" applyAlignment="1" applyProtection="1">
      <alignment horizontal="center"/>
      <protection locked="0"/>
    </xf>
    <xf numFmtId="0" fontId="5" fillId="0" borderId="59" xfId="1" applyFont="1" applyBorder="1" applyAlignment="1" applyProtection="1">
      <alignment horizontal="left" vertical="center" wrapText="1"/>
      <protection locked="0"/>
    </xf>
    <xf numFmtId="0" fontId="5" fillId="0" borderId="60" xfId="1" applyFont="1" applyBorder="1" applyAlignment="1" applyProtection="1">
      <alignment horizontal="left" vertical="center" wrapText="1"/>
      <protection locked="0"/>
    </xf>
    <xf numFmtId="0" fontId="5" fillId="0" borderId="61" xfId="1" applyFont="1" applyBorder="1" applyAlignment="1" applyProtection="1">
      <alignment horizontal="left" vertical="center" wrapText="1"/>
      <protection locked="0"/>
    </xf>
    <xf numFmtId="14" fontId="5" fillId="0" borderId="54" xfId="1" applyNumberFormat="1" applyFont="1" applyBorder="1" applyAlignment="1" applyProtection="1">
      <alignment horizontal="center" vertical="center"/>
      <protection locked="0"/>
    </xf>
    <xf numFmtId="0" fontId="5" fillId="0" borderId="57" xfId="1" applyFont="1" applyBorder="1" applyAlignment="1" applyProtection="1">
      <alignment horizontal="left" vertical="center" wrapText="1"/>
      <protection locked="0"/>
    </xf>
    <xf numFmtId="0" fontId="5" fillId="0" borderId="52" xfId="1" applyFont="1" applyBorder="1" applyAlignment="1" applyProtection="1">
      <alignment horizontal="left" vertical="center" wrapText="1"/>
      <protection locked="0"/>
    </xf>
    <xf numFmtId="0" fontId="5" fillId="0" borderId="10" xfId="1" applyFont="1" applyBorder="1" applyAlignment="1" applyProtection="1">
      <alignment horizontal="left" vertical="center" wrapText="1"/>
      <protection locked="0"/>
    </xf>
    <xf numFmtId="0" fontId="5" fillId="0" borderId="53" xfId="1" applyFont="1" applyBorder="1" applyAlignment="1" applyProtection="1">
      <alignment horizontal="left" vertical="center" wrapText="1"/>
      <protection locked="0"/>
    </xf>
    <xf numFmtId="0" fontId="5" fillId="0" borderId="52" xfId="1" applyFont="1" applyBorder="1" applyAlignment="1" applyProtection="1">
      <alignment horizontal="center" vertical="center"/>
      <protection locked="0"/>
    </xf>
    <xf numFmtId="0" fontId="5" fillId="0" borderId="54" xfId="1" applyFont="1" applyBorder="1" applyAlignment="1" applyProtection="1">
      <alignment horizontal="left" vertical="center" wrapText="1"/>
      <protection locked="0"/>
    </xf>
    <xf numFmtId="0" fontId="5" fillId="0" borderId="54" xfId="1" applyFont="1" applyBorder="1" applyAlignment="1" applyProtection="1">
      <alignment horizontal="center" vertical="center" wrapText="1"/>
      <protection locked="0"/>
    </xf>
    <xf numFmtId="0" fontId="5" fillId="0" borderId="57" xfId="1" applyFont="1" applyBorder="1" applyAlignment="1" applyProtection="1">
      <alignment horizontal="center" vertical="center" wrapText="1"/>
      <protection locked="0"/>
    </xf>
    <xf numFmtId="0" fontId="5" fillId="0" borderId="15" xfId="1" applyFont="1" applyBorder="1" applyAlignment="1" applyProtection="1">
      <alignment horizontal="left" vertical="center" wrapText="1"/>
      <protection locked="0"/>
    </xf>
    <xf numFmtId="0" fontId="5" fillId="0" borderId="16" xfId="1" applyFont="1" applyBorder="1" applyAlignment="1" applyProtection="1">
      <alignment horizontal="left" vertical="center" wrapText="1"/>
      <protection locked="0"/>
    </xf>
    <xf numFmtId="0" fontId="5" fillId="0" borderId="17" xfId="1" applyFont="1" applyBorder="1" applyAlignment="1" applyProtection="1">
      <alignment horizontal="left" vertical="center" wrapText="1"/>
      <protection locked="0"/>
    </xf>
    <xf numFmtId="0" fontId="5" fillId="0" borderId="18" xfId="1" applyFont="1" applyBorder="1" applyAlignment="1" applyProtection="1">
      <alignment horizontal="left" vertical="center" wrapText="1"/>
      <protection locked="0"/>
    </xf>
    <xf numFmtId="0" fontId="5" fillId="0" borderId="13" xfId="1" applyFont="1" applyBorder="1" applyAlignment="1" applyProtection="1">
      <alignment horizontal="left" vertical="center" wrapText="1"/>
      <protection locked="0"/>
    </xf>
    <xf numFmtId="0" fontId="5" fillId="0" borderId="19" xfId="1" applyFont="1" applyBorder="1" applyAlignment="1" applyProtection="1">
      <alignment horizontal="left" vertical="center" wrapText="1"/>
      <protection locked="0"/>
    </xf>
    <xf numFmtId="0" fontId="5" fillId="0" borderId="33" xfId="1" applyFont="1" applyBorder="1" applyAlignment="1" applyProtection="1">
      <alignment horizontal="left" vertical="center" wrapText="1"/>
      <protection locked="0"/>
    </xf>
    <xf numFmtId="0" fontId="5" fillId="0" borderId="11" xfId="1" applyFont="1" applyBorder="1" applyAlignment="1" applyProtection="1">
      <alignment horizontal="center" vertical="center"/>
      <protection locked="0"/>
    </xf>
    <xf numFmtId="0" fontId="5" fillId="0" borderId="62" xfId="1" applyFont="1" applyBorder="1" applyAlignment="1" applyProtection="1">
      <alignment horizontal="left" vertical="center" wrapText="1"/>
      <protection locked="0"/>
    </xf>
    <xf numFmtId="0" fontId="5" fillId="0" borderId="63" xfId="1" applyFont="1" applyBorder="1" applyAlignment="1" applyProtection="1">
      <alignment horizontal="left" vertical="center" wrapText="1"/>
      <protection locked="0"/>
    </xf>
  </cellXfs>
  <cellStyles count="2">
    <cellStyle name="Normal" xfId="0" builtinId="0"/>
    <cellStyle name="Normal 2" xfId="1" xr:uid="{00000000-0005-0000-0000-000001000000}"/>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10</xdr:col>
      <xdr:colOff>725297</xdr:colOff>
      <xdr:row>1</xdr:row>
      <xdr:rowOff>34955</xdr:rowOff>
    </xdr:from>
    <xdr:to>
      <xdr:col>11</xdr:col>
      <xdr:colOff>956335</xdr:colOff>
      <xdr:row>4</xdr:row>
      <xdr:rowOff>77934</xdr:rowOff>
    </xdr:to>
    <xdr:pic>
      <xdr:nvPicPr>
        <xdr:cNvPr id="7" name="Imagen 6">
          <a:extLst>
            <a:ext uri="{FF2B5EF4-FFF2-40B4-BE49-F238E27FC236}">
              <a16:creationId xmlns:a16="http://schemas.microsoft.com/office/drawing/2014/main" id="{D58EEFA4-96D6-0E29-DCC6-7029662E2A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210412" y="78648"/>
          <a:ext cx="1316521" cy="908093"/>
        </a:xfrm>
        <a:prstGeom prst="rect">
          <a:avLst/>
        </a:prstGeom>
      </xdr:spPr>
    </xdr:pic>
    <xdr:clientData/>
  </xdr:twoCellAnchor>
  <xdr:twoCellAnchor editAs="oneCell">
    <xdr:from>
      <xdr:col>0</xdr:col>
      <xdr:colOff>0</xdr:colOff>
      <xdr:row>35</xdr:row>
      <xdr:rowOff>139815</xdr:rowOff>
    </xdr:from>
    <xdr:to>
      <xdr:col>12</xdr:col>
      <xdr:colOff>4586</xdr:colOff>
      <xdr:row>37</xdr:row>
      <xdr:rowOff>3448</xdr:rowOff>
    </xdr:to>
    <xdr:pic>
      <xdr:nvPicPr>
        <xdr:cNvPr id="11" name="Imagen 10">
          <a:extLst>
            <a:ext uri="{FF2B5EF4-FFF2-40B4-BE49-F238E27FC236}">
              <a16:creationId xmlns:a16="http://schemas.microsoft.com/office/drawing/2014/main" id="{A8339310-0A1F-8765-47D9-EB3E4D1F6BA8}"/>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62754"/>
        <a:stretch/>
      </xdr:blipFill>
      <xdr:spPr>
        <a:xfrm>
          <a:off x="0" y="7724861"/>
          <a:ext cx="12248056" cy="105588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186292</xdr:colOff>
      <xdr:row>1</xdr:row>
      <xdr:rowOff>38100</xdr:rowOff>
    </xdr:from>
    <xdr:to>
      <xdr:col>11</xdr:col>
      <xdr:colOff>1620166</xdr:colOff>
      <xdr:row>4</xdr:row>
      <xdr:rowOff>60217</xdr:rowOff>
    </xdr:to>
    <xdr:pic>
      <xdr:nvPicPr>
        <xdr:cNvPr id="3" name="Imagen 2">
          <a:extLst>
            <a:ext uri="{FF2B5EF4-FFF2-40B4-BE49-F238E27FC236}">
              <a16:creationId xmlns:a16="http://schemas.microsoft.com/office/drawing/2014/main" id="{F4A248CF-CDCA-2749-84A1-C37AE43A56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552792" y="101600"/>
          <a:ext cx="1422444" cy="916832"/>
        </a:xfrm>
        <a:prstGeom prst="rect">
          <a:avLst/>
        </a:prstGeom>
      </xdr:spPr>
    </xdr:pic>
    <xdr:clientData/>
  </xdr:twoCellAnchor>
  <xdr:twoCellAnchor editAs="oneCell">
    <xdr:from>
      <xdr:col>0</xdr:col>
      <xdr:colOff>25400</xdr:colOff>
      <xdr:row>40</xdr:row>
      <xdr:rowOff>63500</xdr:rowOff>
    </xdr:from>
    <xdr:to>
      <xdr:col>11</xdr:col>
      <xdr:colOff>1692275</xdr:colOff>
      <xdr:row>43</xdr:row>
      <xdr:rowOff>1811</xdr:rowOff>
    </xdr:to>
    <xdr:pic>
      <xdr:nvPicPr>
        <xdr:cNvPr id="4" name="Imagen 3">
          <a:extLst>
            <a:ext uri="{FF2B5EF4-FFF2-40B4-BE49-F238E27FC236}">
              <a16:creationId xmlns:a16="http://schemas.microsoft.com/office/drawing/2014/main" id="{284D80AA-1CAC-2A40-9D0A-FFF837AC1A54}"/>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60354"/>
        <a:stretch/>
      </xdr:blipFill>
      <xdr:spPr>
        <a:xfrm>
          <a:off x="25400" y="7848600"/>
          <a:ext cx="13271500" cy="1217836"/>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37"/>
  <sheetViews>
    <sheetView showGridLines="0" view="pageLayout" topLeftCell="A4" zoomScaleNormal="90" zoomScaleSheetLayoutView="100" workbookViewId="0">
      <selection activeCell="G12" sqref="G12:L12"/>
    </sheetView>
  </sheetViews>
  <sheetFormatPr baseColWidth="10" defaultColWidth="11.44140625" defaultRowHeight="13.2" x14ac:dyDescent="0.25"/>
  <cols>
    <col min="1" max="1" width="27.109375" style="8" customWidth="1"/>
    <col min="2" max="2" width="10.33203125" style="8" customWidth="1"/>
    <col min="3" max="3" width="9.6640625" style="8" customWidth="1"/>
    <col min="4" max="4" width="7.109375" style="8" customWidth="1"/>
    <col min="5" max="5" width="7.33203125" style="8" customWidth="1"/>
    <col min="6" max="6" width="21.44140625" style="8" customWidth="1"/>
    <col min="7" max="7" width="14.33203125" style="8" customWidth="1"/>
    <col min="8" max="8" width="10.109375" style="8" customWidth="1"/>
    <col min="9" max="9" width="7.44140625" style="8" customWidth="1"/>
    <col min="10" max="10" width="12.33203125" style="8" customWidth="1"/>
    <col min="11" max="11" width="16.33203125" style="8" customWidth="1"/>
    <col min="12" max="12" width="16.44140625" style="8" customWidth="1"/>
    <col min="13" max="13" width="3.33203125" style="8" customWidth="1"/>
    <col min="14" max="14" width="35.109375" style="8" hidden="1" customWidth="1"/>
    <col min="15" max="16384" width="11.44140625" style="8"/>
  </cols>
  <sheetData>
    <row r="1" spans="1:15" ht="3.75" customHeight="1" thickBot="1" x14ac:dyDescent="0.3"/>
    <row r="2" spans="1:15" ht="23.1" customHeight="1" x14ac:dyDescent="0.25">
      <c r="A2" s="92" t="s">
        <v>0</v>
      </c>
      <c r="B2" s="93"/>
      <c r="C2" s="93"/>
      <c r="D2" s="93"/>
      <c r="E2" s="93"/>
      <c r="F2" s="93"/>
      <c r="G2" s="93"/>
      <c r="H2" s="93"/>
      <c r="I2" s="93"/>
      <c r="J2" s="93"/>
      <c r="K2" s="72"/>
      <c r="L2" s="73"/>
      <c r="N2" s="6" t="s">
        <v>1</v>
      </c>
    </row>
    <row r="3" spans="1:15" ht="23.1" customHeight="1" x14ac:dyDescent="0.25">
      <c r="A3" s="94" t="s">
        <v>2</v>
      </c>
      <c r="B3" s="95"/>
      <c r="C3" s="95"/>
      <c r="D3" s="95"/>
      <c r="E3" s="95"/>
      <c r="F3" s="95"/>
      <c r="G3" s="95"/>
      <c r="H3" s="95"/>
      <c r="I3" s="95"/>
      <c r="J3" s="95"/>
      <c r="K3" s="74"/>
      <c r="L3" s="75"/>
      <c r="N3" s="6" t="s">
        <v>3</v>
      </c>
    </row>
    <row r="4" spans="1:15" ht="23.1" customHeight="1" thickBot="1" x14ac:dyDescent="0.3">
      <c r="A4" s="96" t="s">
        <v>4</v>
      </c>
      <c r="B4" s="97"/>
      <c r="C4" s="97"/>
      <c r="D4" s="97"/>
      <c r="E4" s="97"/>
      <c r="F4" s="97"/>
      <c r="G4" s="97"/>
      <c r="H4" s="97"/>
      <c r="I4" s="97"/>
      <c r="J4" s="97"/>
      <c r="K4" s="76"/>
      <c r="L4" s="77"/>
      <c r="N4" s="6" t="s">
        <v>5</v>
      </c>
    </row>
    <row r="5" spans="1:15" s="6" customFormat="1" ht="17.25" customHeight="1" x14ac:dyDescent="0.25">
      <c r="A5" s="29" t="s">
        <v>6</v>
      </c>
      <c r="B5" s="98" t="s">
        <v>7</v>
      </c>
      <c r="C5" s="98"/>
      <c r="D5" s="98"/>
      <c r="E5" s="98"/>
      <c r="F5" s="98"/>
      <c r="G5" s="98"/>
      <c r="H5" s="98"/>
      <c r="I5" s="98"/>
      <c r="J5" s="98"/>
      <c r="K5" s="98"/>
      <c r="L5" s="99"/>
      <c r="N5" s="6" t="s">
        <v>8</v>
      </c>
    </row>
    <row r="6" spans="1:15" s="6" customFormat="1" ht="17.25" customHeight="1" x14ac:dyDescent="0.25">
      <c r="A6" s="42" t="s">
        <v>9</v>
      </c>
      <c r="B6" s="105">
        <v>26</v>
      </c>
      <c r="C6" s="105"/>
      <c r="D6" s="105"/>
      <c r="E6" s="105"/>
      <c r="F6" s="105"/>
      <c r="G6" s="105"/>
      <c r="H6" s="39"/>
      <c r="I6" s="130" t="s">
        <v>10</v>
      </c>
      <c r="J6" s="130"/>
      <c r="K6" s="106" t="s">
        <v>11</v>
      </c>
      <c r="L6" s="107"/>
      <c r="N6" s="13" t="s">
        <v>12</v>
      </c>
    </row>
    <row r="7" spans="1:15" s="6" customFormat="1" ht="17.25" customHeight="1" x14ac:dyDescent="0.25">
      <c r="A7" s="42" t="s">
        <v>13</v>
      </c>
      <c r="B7" s="105" t="s">
        <v>14</v>
      </c>
      <c r="C7" s="105"/>
      <c r="D7" s="105"/>
      <c r="E7" s="105"/>
      <c r="F7" s="105"/>
      <c r="G7" s="105"/>
      <c r="H7" s="39"/>
      <c r="I7" s="130" t="s">
        <v>15</v>
      </c>
      <c r="J7" s="130"/>
      <c r="K7" s="106" t="s">
        <v>16</v>
      </c>
      <c r="L7" s="107"/>
      <c r="N7" s="13" t="s">
        <v>17</v>
      </c>
    </row>
    <row r="8" spans="1:15" s="6" customFormat="1" ht="17.25" customHeight="1" x14ac:dyDescent="0.25">
      <c r="A8" s="42" t="s">
        <v>18</v>
      </c>
      <c r="B8" s="106" t="s">
        <v>19</v>
      </c>
      <c r="C8" s="106"/>
      <c r="D8" s="106"/>
      <c r="E8" s="106"/>
      <c r="F8" s="106"/>
      <c r="G8" s="106"/>
      <c r="H8" s="106"/>
      <c r="I8" s="130" t="s">
        <v>20</v>
      </c>
      <c r="J8" s="130"/>
      <c r="K8" s="105" t="s">
        <v>21</v>
      </c>
      <c r="L8" s="131"/>
      <c r="N8" s="13" t="s">
        <v>22</v>
      </c>
    </row>
    <row r="9" spans="1:15" s="6" customFormat="1" ht="17.25" customHeight="1" x14ac:dyDescent="0.25">
      <c r="A9" s="42" t="s">
        <v>23</v>
      </c>
      <c r="B9" s="105" t="s">
        <v>24</v>
      </c>
      <c r="C9" s="105"/>
      <c r="D9" s="105"/>
      <c r="E9" s="105"/>
      <c r="F9" s="105"/>
      <c r="G9" s="105"/>
      <c r="H9" s="105"/>
      <c r="I9" s="105"/>
      <c r="J9" s="105"/>
      <c r="K9" s="105"/>
      <c r="L9" s="131"/>
      <c r="N9" s="13" t="s">
        <v>25</v>
      </c>
    </row>
    <row r="10" spans="1:15" s="6" customFormat="1" ht="17.25" customHeight="1" x14ac:dyDescent="0.25">
      <c r="A10" s="42" t="s">
        <v>3</v>
      </c>
      <c r="B10" s="106" t="s">
        <v>26</v>
      </c>
      <c r="C10" s="106"/>
      <c r="D10" s="106"/>
      <c r="E10" s="106"/>
      <c r="F10" s="106"/>
      <c r="G10" s="106"/>
      <c r="H10" s="106"/>
      <c r="I10" s="106"/>
      <c r="J10" s="106"/>
      <c r="K10" s="106"/>
      <c r="L10" s="107"/>
      <c r="N10" s="13" t="s">
        <v>27</v>
      </c>
    </row>
    <row r="11" spans="1:15" s="6" customFormat="1" ht="17.25" customHeight="1" x14ac:dyDescent="0.25">
      <c r="A11" s="42" t="s">
        <v>5</v>
      </c>
      <c r="B11" s="106" t="s">
        <v>72</v>
      </c>
      <c r="C11" s="106"/>
      <c r="D11" s="106"/>
      <c r="E11" s="106"/>
      <c r="F11" s="106"/>
      <c r="G11" s="106"/>
      <c r="H11" s="106"/>
      <c r="I11" s="106"/>
      <c r="J11" s="106"/>
      <c r="K11" s="106"/>
      <c r="L11" s="107"/>
      <c r="N11" s="13" t="s">
        <v>28</v>
      </c>
    </row>
    <row r="12" spans="1:15" s="6" customFormat="1" ht="17.25" customHeight="1" x14ac:dyDescent="0.25">
      <c r="A12" s="42" t="s">
        <v>29</v>
      </c>
      <c r="B12" s="100">
        <v>46028</v>
      </c>
      <c r="C12" s="100"/>
      <c r="D12" s="100"/>
      <c r="E12" s="100"/>
      <c r="F12" s="12" t="s">
        <v>30</v>
      </c>
      <c r="G12" s="101">
        <v>46128</v>
      </c>
      <c r="H12" s="101"/>
      <c r="I12" s="101"/>
      <c r="J12" s="101"/>
      <c r="K12" s="101"/>
      <c r="L12" s="102"/>
      <c r="N12" s="13" t="s">
        <v>31</v>
      </c>
    </row>
    <row r="13" spans="1:15" s="6" customFormat="1" ht="17.25" customHeight="1" x14ac:dyDescent="0.25">
      <c r="A13" s="19" t="s">
        <v>32</v>
      </c>
      <c r="B13" s="91" t="s">
        <v>25</v>
      </c>
      <c r="C13" s="91"/>
      <c r="D13" s="91"/>
      <c r="E13" s="91"/>
      <c r="F13" s="91"/>
      <c r="G13" s="14"/>
      <c r="H13" s="14"/>
      <c r="I13" s="14"/>
      <c r="J13" s="15"/>
      <c r="K13" s="15"/>
      <c r="L13" s="16"/>
    </row>
    <row r="14" spans="1:15" s="6" customFormat="1" ht="17.100000000000001" customHeight="1" x14ac:dyDescent="0.25">
      <c r="A14" s="132" t="s">
        <v>33</v>
      </c>
      <c r="B14" s="133"/>
      <c r="C14" s="133"/>
      <c r="D14" s="133"/>
      <c r="E14" s="133"/>
      <c r="F14" s="78" t="s">
        <v>34</v>
      </c>
      <c r="G14" s="79"/>
      <c r="H14" s="79"/>
      <c r="I14" s="79"/>
      <c r="J14" s="79"/>
      <c r="K14" s="79"/>
      <c r="L14" s="80"/>
      <c r="M14" s="9"/>
      <c r="O14" s="9"/>
    </row>
    <row r="15" spans="1:15" s="6" customFormat="1" ht="17.100000000000001" customHeight="1" x14ac:dyDescent="0.25">
      <c r="A15" s="45" t="s">
        <v>35</v>
      </c>
      <c r="B15" s="46"/>
      <c r="C15" s="46"/>
      <c r="D15" s="46"/>
      <c r="E15" s="47"/>
      <c r="F15" s="62" t="s">
        <v>73</v>
      </c>
      <c r="G15" s="46"/>
      <c r="H15" s="46"/>
      <c r="I15" s="46"/>
      <c r="J15" s="46"/>
      <c r="K15" s="46"/>
      <c r="L15" s="63"/>
      <c r="M15" s="9"/>
      <c r="O15" s="9"/>
    </row>
    <row r="16" spans="1:15" s="6" customFormat="1" ht="17.100000000000001" customHeight="1" x14ac:dyDescent="0.25">
      <c r="A16" s="45"/>
      <c r="B16" s="46"/>
      <c r="C16" s="46"/>
      <c r="D16" s="46"/>
      <c r="E16" s="47"/>
      <c r="F16" s="62" t="s">
        <v>74</v>
      </c>
      <c r="G16" s="46"/>
      <c r="H16" s="46"/>
      <c r="I16" s="46"/>
      <c r="J16" s="46"/>
      <c r="K16" s="46"/>
      <c r="L16" s="63"/>
      <c r="M16" s="9"/>
      <c r="O16" s="9"/>
    </row>
    <row r="17" spans="1:16" s="6" customFormat="1" ht="17.100000000000001" customHeight="1" x14ac:dyDescent="0.25">
      <c r="A17" s="48"/>
      <c r="B17" s="49"/>
      <c r="C17" s="49"/>
      <c r="D17" s="49"/>
      <c r="E17" s="50"/>
      <c r="F17" s="62" t="s">
        <v>75</v>
      </c>
      <c r="G17" s="46"/>
      <c r="H17" s="46"/>
      <c r="I17" s="46"/>
      <c r="J17" s="46"/>
      <c r="K17" s="46"/>
      <c r="L17" s="63"/>
      <c r="M17" s="9"/>
      <c r="O17" s="9"/>
    </row>
    <row r="18" spans="1:16" s="6" customFormat="1" ht="17.100000000000001" customHeight="1" x14ac:dyDescent="0.25">
      <c r="A18" s="146" t="s">
        <v>36</v>
      </c>
      <c r="B18" s="147"/>
      <c r="C18" s="147"/>
      <c r="D18" s="147"/>
      <c r="E18" s="148"/>
      <c r="F18" s="62" t="s">
        <v>76</v>
      </c>
      <c r="G18" s="46"/>
      <c r="H18" s="46"/>
      <c r="I18" s="46"/>
      <c r="J18" s="46"/>
      <c r="K18" s="46"/>
      <c r="L18" s="63"/>
      <c r="M18" s="9"/>
    </row>
    <row r="19" spans="1:16" s="6" customFormat="1" ht="17.100000000000001" customHeight="1" x14ac:dyDescent="0.25">
      <c r="A19" s="56" t="s">
        <v>77</v>
      </c>
      <c r="B19" s="57"/>
      <c r="C19" s="57"/>
      <c r="D19" s="57"/>
      <c r="E19" s="58"/>
      <c r="F19" s="44"/>
      <c r="G19" s="13"/>
      <c r="H19" s="13"/>
      <c r="I19" s="13"/>
      <c r="J19" s="13"/>
      <c r="K19" s="13"/>
      <c r="L19" s="38"/>
    </row>
    <row r="20" spans="1:16" s="6" customFormat="1" ht="17.100000000000001" customHeight="1" x14ac:dyDescent="0.25">
      <c r="A20" s="56"/>
      <c r="B20" s="57"/>
      <c r="C20" s="57"/>
      <c r="D20" s="57"/>
      <c r="E20" s="58"/>
      <c r="F20" s="44"/>
      <c r="G20" s="13"/>
      <c r="H20" s="13"/>
      <c r="I20" s="13"/>
      <c r="J20" s="13"/>
      <c r="K20" s="13"/>
      <c r="L20" s="38"/>
    </row>
    <row r="21" spans="1:16" s="6" customFormat="1" ht="31.5" customHeight="1" x14ac:dyDescent="0.25">
      <c r="A21" s="59"/>
      <c r="B21" s="60"/>
      <c r="C21" s="60"/>
      <c r="D21" s="60"/>
      <c r="E21" s="61"/>
      <c r="F21" s="103"/>
      <c r="G21" s="103"/>
      <c r="H21" s="103"/>
      <c r="I21" s="103"/>
      <c r="J21" s="103"/>
      <c r="K21" s="103"/>
      <c r="L21" s="104"/>
    </row>
    <row r="22" spans="1:16" s="6" customFormat="1" ht="17.100000000000001" customHeight="1" x14ac:dyDescent="0.25">
      <c r="A22" s="143" t="s">
        <v>37</v>
      </c>
      <c r="B22" s="144"/>
      <c r="C22" s="144"/>
      <c r="D22" s="144"/>
      <c r="E22" s="145"/>
      <c r="F22" s="81" t="s">
        <v>38</v>
      </c>
      <c r="G22" s="82"/>
      <c r="H22" s="82"/>
      <c r="I22" s="82"/>
      <c r="J22" s="83"/>
      <c r="K22" s="87" t="s">
        <v>39</v>
      </c>
      <c r="L22" s="88"/>
      <c r="N22" s="10"/>
      <c r="P22" s="7"/>
    </row>
    <row r="23" spans="1:16" s="6" customFormat="1" ht="42" customHeight="1" x14ac:dyDescent="0.25">
      <c r="A23" s="53" t="s">
        <v>79</v>
      </c>
      <c r="B23" s="54"/>
      <c r="C23" s="54"/>
      <c r="D23" s="54"/>
      <c r="E23" s="55"/>
      <c r="F23" s="84"/>
      <c r="G23" s="85"/>
      <c r="H23" s="85"/>
      <c r="I23" s="85"/>
      <c r="J23" s="86"/>
      <c r="K23" s="89"/>
      <c r="L23" s="90"/>
      <c r="P23" s="9"/>
    </row>
    <row r="24" spans="1:16" s="13" customFormat="1" ht="38.4" customHeight="1" x14ac:dyDescent="0.25">
      <c r="A24" s="149" t="s">
        <v>80</v>
      </c>
      <c r="B24" s="150"/>
      <c r="C24" s="150"/>
      <c r="D24" s="150"/>
      <c r="E24" s="151"/>
      <c r="F24" s="51" t="s">
        <v>40</v>
      </c>
      <c r="G24" s="51"/>
      <c r="H24" s="51"/>
      <c r="I24" s="51"/>
      <c r="J24" s="52"/>
      <c r="K24" s="152">
        <v>46038</v>
      </c>
      <c r="L24" s="68"/>
      <c r="N24" s="7"/>
      <c r="P24" s="7"/>
    </row>
    <row r="25" spans="1:16" s="13" customFormat="1" ht="33.6" customHeight="1" x14ac:dyDescent="0.25">
      <c r="A25" s="149" t="s">
        <v>81</v>
      </c>
      <c r="B25" s="150"/>
      <c r="C25" s="150"/>
      <c r="D25" s="150"/>
      <c r="E25" s="151"/>
      <c r="F25" s="110" t="s">
        <v>41</v>
      </c>
      <c r="G25" s="111"/>
      <c r="H25" s="111"/>
      <c r="I25" s="111"/>
      <c r="J25" s="112"/>
      <c r="K25" s="67">
        <v>46087</v>
      </c>
      <c r="L25" s="68"/>
      <c r="N25" s="7"/>
      <c r="P25" s="7"/>
    </row>
    <row r="26" spans="1:16" s="13" customFormat="1" ht="46.2" customHeight="1" x14ac:dyDescent="0.25">
      <c r="A26" s="149" t="s">
        <v>82</v>
      </c>
      <c r="B26" s="150"/>
      <c r="C26" s="150"/>
      <c r="D26" s="150"/>
      <c r="E26" s="151"/>
      <c r="F26" s="110" t="s">
        <v>42</v>
      </c>
      <c r="G26" s="111"/>
      <c r="H26" s="111"/>
      <c r="I26" s="111"/>
      <c r="J26" s="112"/>
      <c r="K26" s="67">
        <v>46108</v>
      </c>
      <c r="L26" s="68"/>
      <c r="N26" s="7"/>
      <c r="P26" s="7"/>
    </row>
    <row r="27" spans="1:16" s="13" customFormat="1" ht="15" x14ac:dyDescent="0.25">
      <c r="A27" s="124"/>
      <c r="B27" s="125"/>
      <c r="C27" s="125"/>
      <c r="D27" s="125"/>
      <c r="E27" s="126"/>
      <c r="F27" s="110" t="s">
        <v>43</v>
      </c>
      <c r="G27" s="111"/>
      <c r="H27" s="111"/>
      <c r="I27" s="111"/>
      <c r="J27" s="112"/>
      <c r="K27" s="67">
        <v>46122</v>
      </c>
      <c r="L27" s="119"/>
    </row>
    <row r="28" spans="1:16" s="6" customFormat="1" ht="29.4" customHeight="1" x14ac:dyDescent="0.3">
      <c r="A28" s="140" t="s">
        <v>44</v>
      </c>
      <c r="B28" s="141"/>
      <c r="C28" s="141"/>
      <c r="D28" s="141"/>
      <c r="E28" s="142"/>
      <c r="F28" s="113" t="s">
        <v>45</v>
      </c>
      <c r="G28" s="114"/>
      <c r="H28" s="114"/>
      <c r="I28" s="114"/>
      <c r="J28" s="115"/>
      <c r="K28" s="120">
        <v>46128</v>
      </c>
      <c r="L28" s="121"/>
    </row>
    <row r="29" spans="1:16" s="6" customFormat="1" ht="63.75" customHeight="1" x14ac:dyDescent="0.25">
      <c r="A29" s="127" t="s">
        <v>78</v>
      </c>
      <c r="B29" s="128"/>
      <c r="C29" s="128"/>
      <c r="D29" s="128"/>
      <c r="E29" s="129"/>
      <c r="F29" s="116"/>
      <c r="G29" s="117"/>
      <c r="H29" s="117"/>
      <c r="I29" s="117"/>
      <c r="J29" s="118"/>
      <c r="K29" s="67"/>
      <c r="L29" s="68"/>
    </row>
    <row r="30" spans="1:16" s="6" customFormat="1" ht="17.100000000000001" customHeight="1" x14ac:dyDescent="0.25">
      <c r="A30" s="134"/>
      <c r="B30" s="135"/>
      <c r="C30" s="135"/>
      <c r="D30" s="135"/>
      <c r="E30" s="136"/>
      <c r="F30" s="116"/>
      <c r="G30" s="117"/>
      <c r="H30" s="117"/>
      <c r="I30" s="117"/>
      <c r="J30" s="118"/>
      <c r="K30" s="67"/>
      <c r="L30" s="68"/>
    </row>
    <row r="31" spans="1:16" s="6" customFormat="1" ht="17.100000000000001" customHeight="1" thickBot="1" x14ac:dyDescent="0.3">
      <c r="A31" s="137"/>
      <c r="B31" s="138"/>
      <c r="C31" s="138"/>
      <c r="D31" s="138"/>
      <c r="E31" s="139"/>
      <c r="F31" s="69"/>
      <c r="G31" s="69"/>
      <c r="H31" s="69"/>
      <c r="I31" s="69"/>
      <c r="J31" s="70"/>
      <c r="K31" s="65"/>
      <c r="L31" s="66"/>
    </row>
    <row r="32" spans="1:16" s="6" customFormat="1" ht="9.75" customHeight="1" x14ac:dyDescent="0.25"/>
    <row r="33" spans="1:12" s="6" customFormat="1" ht="15.75" customHeight="1" x14ac:dyDescent="0.25">
      <c r="A33" s="71"/>
      <c r="B33" s="71"/>
      <c r="C33" s="71"/>
      <c r="D33" s="71"/>
      <c r="E33" s="40"/>
      <c r="F33" s="71"/>
      <c r="G33" s="71"/>
      <c r="H33" s="71"/>
      <c r="I33" s="71"/>
      <c r="J33" s="71"/>
      <c r="K33" s="71"/>
      <c r="L33" s="71"/>
    </row>
    <row r="34" spans="1:12" s="6" customFormat="1" ht="15.6" x14ac:dyDescent="0.25">
      <c r="A34" s="64" t="str">
        <f>B10</f>
        <v>I. I. Julio César Torres Hernández</v>
      </c>
      <c r="B34" s="64"/>
      <c r="C34" s="64"/>
      <c r="D34" s="64"/>
      <c r="E34" s="11"/>
      <c r="F34" s="64" t="str">
        <f>B5</f>
        <v>Andrés Yismael Díaz Hernandéz</v>
      </c>
      <c r="G34" s="64"/>
      <c r="H34" s="64"/>
      <c r="I34" s="17"/>
      <c r="J34" s="64" t="str">
        <f>B11</f>
        <v>M. C. Nélida Báron Pérez</v>
      </c>
      <c r="K34" s="64"/>
      <c r="L34" s="64"/>
    </row>
    <row r="35" spans="1:12" s="6" customFormat="1" ht="15.6" x14ac:dyDescent="0.25">
      <c r="A35" s="122" t="str">
        <f>UPPER(LEFT(A10, LEN(A10)-1))</f>
        <v>ASESOR EMPRESARIAL</v>
      </c>
      <c r="B35" s="123"/>
      <c r="C35" s="123"/>
      <c r="D35" s="123"/>
      <c r="E35" s="5"/>
      <c r="F35" s="122" t="s">
        <v>46</v>
      </c>
      <c r="G35" s="122"/>
      <c r="H35" s="122"/>
      <c r="I35" s="5"/>
      <c r="J35" s="122" t="str">
        <f>UPPER(LEFT(A11, LEN(A11)-1))</f>
        <v>ASESORA UNIVERSITARIA</v>
      </c>
      <c r="K35" s="122"/>
      <c r="L35" s="122"/>
    </row>
    <row r="36" spans="1:12" ht="25.5" customHeight="1" x14ac:dyDescent="0.25">
      <c r="A36" s="108" t="s">
        <v>47</v>
      </c>
      <c r="B36" s="109"/>
      <c r="C36" s="109"/>
      <c r="D36" s="109"/>
      <c r="E36" s="109"/>
      <c r="F36" s="109"/>
      <c r="G36" s="109"/>
      <c r="H36" s="109"/>
      <c r="I36" s="109"/>
      <c r="J36" s="109"/>
      <c r="K36" s="109"/>
      <c r="L36" s="109"/>
    </row>
    <row r="37" spans="1:12" ht="69" customHeight="1" x14ac:dyDescent="0.25"/>
  </sheetData>
  <dataConsolidate/>
  <mergeCells count="70">
    <mergeCell ref="A14:E14"/>
    <mergeCell ref="A30:E30"/>
    <mergeCell ref="A31:E31"/>
    <mergeCell ref="K25:L25"/>
    <mergeCell ref="F15:L15"/>
    <mergeCell ref="F17:L17"/>
    <mergeCell ref="A28:E28"/>
    <mergeCell ref="A22:E22"/>
    <mergeCell ref="A18:E18"/>
    <mergeCell ref="A24:E24"/>
    <mergeCell ref="A25:E25"/>
    <mergeCell ref="A26:E26"/>
    <mergeCell ref="K24:L24"/>
    <mergeCell ref="F25:J25"/>
    <mergeCell ref="F26:J26"/>
    <mergeCell ref="A15:E15"/>
    <mergeCell ref="B11:L11"/>
    <mergeCell ref="I6:J6"/>
    <mergeCell ref="I7:J7"/>
    <mergeCell ref="I8:J8"/>
    <mergeCell ref="B9:L9"/>
    <mergeCell ref="K7:L7"/>
    <mergeCell ref="K8:L8"/>
    <mergeCell ref="B8:H8"/>
    <mergeCell ref="A36:L36"/>
    <mergeCell ref="K30:L30"/>
    <mergeCell ref="F27:J27"/>
    <mergeCell ref="F28:J28"/>
    <mergeCell ref="F29:J29"/>
    <mergeCell ref="F30:J30"/>
    <mergeCell ref="K27:L27"/>
    <mergeCell ref="K28:L28"/>
    <mergeCell ref="K29:L29"/>
    <mergeCell ref="A35:D35"/>
    <mergeCell ref="J35:L35"/>
    <mergeCell ref="F35:H35"/>
    <mergeCell ref="A27:E27"/>
    <mergeCell ref="A29:E29"/>
    <mergeCell ref="J34:L34"/>
    <mergeCell ref="A33:D33"/>
    <mergeCell ref="K2:L4"/>
    <mergeCell ref="F14:L14"/>
    <mergeCell ref="F22:J23"/>
    <mergeCell ref="K22:L23"/>
    <mergeCell ref="B13:F13"/>
    <mergeCell ref="A2:J2"/>
    <mergeCell ref="A3:J3"/>
    <mergeCell ref="A4:J4"/>
    <mergeCell ref="B5:L5"/>
    <mergeCell ref="B12:E12"/>
    <mergeCell ref="G12:L12"/>
    <mergeCell ref="F21:L21"/>
    <mergeCell ref="B6:G6"/>
    <mergeCell ref="B7:G7"/>
    <mergeCell ref="K6:L6"/>
    <mergeCell ref="B10:L10"/>
    <mergeCell ref="F34:H34"/>
    <mergeCell ref="K31:L31"/>
    <mergeCell ref="A34:D34"/>
    <mergeCell ref="K26:L26"/>
    <mergeCell ref="F31:J31"/>
    <mergeCell ref="F33:I33"/>
    <mergeCell ref="J33:L33"/>
    <mergeCell ref="A16:E16"/>
    <mergeCell ref="A17:E17"/>
    <mergeCell ref="F24:J24"/>
    <mergeCell ref="A23:E23"/>
    <mergeCell ref="A19:E21"/>
    <mergeCell ref="F16:L16"/>
    <mergeCell ref="F18:L18"/>
  </mergeCells>
  <phoneticPr fontId="0" type="noConversion"/>
  <dataValidations count="3">
    <dataValidation type="list" allowBlank="1" showInputMessage="1" showErrorMessage="1" promptTitle="Seleccional el tipo de proyecto." prompt="Seleccional el tipo de proyecto." sqref="B13:F13" xr:uid="{00000000-0002-0000-0000-000000000000}">
      <formula1>$N$6:$N$12</formula1>
    </dataValidation>
    <dataValidation type="list" allowBlank="1" showInputMessage="1" showErrorMessage="1" promptTitle="Selecciona asesora o asesor." prompt="Selecciona asesora o asesor." sqref="A10" xr:uid="{00000000-0002-0000-0000-000001000000}">
      <formula1>N2:N3</formula1>
    </dataValidation>
    <dataValidation type="list" allowBlank="1" showInputMessage="1" showErrorMessage="1" promptTitle="Selecciona asesora o asesor." prompt="Selecciona asesora o asesor." sqref="A11" xr:uid="{00000000-0002-0000-0000-000002000000}">
      <formula1>$N$4:$N$5</formula1>
    </dataValidation>
  </dataValidations>
  <printOptions horizontalCentered="1" verticalCentered="1"/>
  <pageMargins left="0.19685039370078741" right="0.19685039370078741" top="0.39370078740157483" bottom="0.39370078740157483" header="0" footer="0"/>
  <pageSetup scale="68"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43"/>
  <sheetViews>
    <sheetView showGridLines="0" tabSelected="1" view="pageBreakPreview" topLeftCell="A17" zoomScale="55" zoomScaleNormal="100" zoomScaleSheetLayoutView="55" workbookViewId="0">
      <selection activeCell="H39" sqref="H39:K39"/>
    </sheetView>
  </sheetViews>
  <sheetFormatPr baseColWidth="10" defaultColWidth="11.44140625" defaultRowHeight="13.2" x14ac:dyDescent="0.25"/>
  <cols>
    <col min="1" max="1" width="20.44140625" style="1" customWidth="1"/>
    <col min="2" max="2" width="7.6640625" style="1" customWidth="1"/>
    <col min="3" max="3" width="9.88671875" style="1" customWidth="1"/>
    <col min="4" max="4" width="17" style="1" customWidth="1"/>
    <col min="5" max="5" width="17.33203125" style="1" customWidth="1"/>
    <col min="6" max="6" width="6" style="1" customWidth="1"/>
    <col min="7" max="7" width="12" style="1" customWidth="1"/>
    <col min="8" max="8" width="4" style="1" customWidth="1"/>
    <col min="9" max="9" width="18.6640625" style="1" customWidth="1"/>
    <col min="10" max="10" width="27.44140625" style="1" customWidth="1"/>
    <col min="11" max="11" width="8.6640625" style="1" customWidth="1"/>
    <col min="12" max="12" width="25.44140625" style="1" customWidth="1"/>
    <col min="13" max="13" width="11.44140625" style="1"/>
    <col min="14" max="14" width="11.44140625" style="1" hidden="1" customWidth="1"/>
    <col min="15" max="16384" width="11.44140625" style="1"/>
  </cols>
  <sheetData>
    <row r="1" spans="1:14" ht="5.25" customHeight="1" thickBot="1" x14ac:dyDescent="0.3"/>
    <row r="2" spans="1:14" ht="24.75" customHeight="1" x14ac:dyDescent="0.25">
      <c r="A2" s="176" t="s">
        <v>48</v>
      </c>
      <c r="B2" s="177"/>
      <c r="C2" s="177"/>
      <c r="D2" s="177"/>
      <c r="E2" s="177"/>
      <c r="F2" s="177"/>
      <c r="G2" s="177"/>
      <c r="H2" s="177"/>
      <c r="I2" s="177"/>
      <c r="J2" s="177"/>
      <c r="K2" s="33"/>
      <c r="L2" s="34"/>
    </row>
    <row r="3" spans="1:14" ht="14.25" customHeight="1" x14ac:dyDescent="0.3">
      <c r="A3" s="178" t="s">
        <v>49</v>
      </c>
      <c r="B3" s="179"/>
      <c r="C3" s="179"/>
      <c r="D3" s="179"/>
      <c r="E3" s="179"/>
      <c r="F3" s="179"/>
      <c r="G3" s="179"/>
      <c r="H3" s="179"/>
      <c r="I3" s="179"/>
      <c r="J3" s="179"/>
      <c r="K3" s="30"/>
      <c r="L3" s="35"/>
    </row>
    <row r="4" spans="1:14" ht="32.1" customHeight="1" thickBot="1" x14ac:dyDescent="0.3">
      <c r="A4" s="180" t="s">
        <v>50</v>
      </c>
      <c r="B4" s="181"/>
      <c r="C4" s="181"/>
      <c r="D4" s="181"/>
      <c r="E4" s="181"/>
      <c r="F4" s="181"/>
      <c r="G4" s="181"/>
      <c r="H4" s="181"/>
      <c r="I4" s="181"/>
      <c r="J4" s="181"/>
      <c r="K4" s="36"/>
      <c r="L4" s="37"/>
    </row>
    <row r="5" spans="1:14" s="2" customFormat="1" ht="17.25" customHeight="1" x14ac:dyDescent="0.25">
      <c r="A5" s="31" t="s">
        <v>6</v>
      </c>
      <c r="B5" s="32"/>
      <c r="C5" s="182" t="str">
        <f>'Asignación de Proyecto'!B5</f>
        <v>Andrés Yismael Díaz Hernandéz</v>
      </c>
      <c r="D5" s="182"/>
      <c r="E5" s="182"/>
      <c r="F5" s="182"/>
      <c r="G5" s="182"/>
      <c r="H5" s="182"/>
      <c r="I5" s="182"/>
      <c r="J5" s="182"/>
      <c r="K5" s="182"/>
      <c r="L5" s="183"/>
      <c r="N5" s="2" t="s">
        <v>51</v>
      </c>
    </row>
    <row r="6" spans="1:14" s="2" customFormat="1" ht="17.25" customHeight="1" x14ac:dyDescent="0.25">
      <c r="A6" s="20" t="s">
        <v>9</v>
      </c>
      <c r="B6" s="41"/>
      <c r="C6" s="41">
        <f>'Asignación de Proyecto'!B6</f>
        <v>26</v>
      </c>
      <c r="D6" s="21"/>
      <c r="E6" s="21"/>
      <c r="F6" s="21"/>
      <c r="G6" s="21"/>
      <c r="H6" s="21"/>
      <c r="I6" s="22"/>
      <c r="J6" s="23" t="s">
        <v>52</v>
      </c>
      <c r="K6" s="161" t="str">
        <f>'Asignación de Proyecto'!K6</f>
        <v>20243IGS003</v>
      </c>
      <c r="L6" s="162"/>
      <c r="N6" s="2" t="s">
        <v>53</v>
      </c>
    </row>
    <row r="7" spans="1:14" s="2" customFormat="1" ht="17.25" customHeight="1" x14ac:dyDescent="0.25">
      <c r="A7" s="43" t="s">
        <v>13</v>
      </c>
      <c r="B7" s="41"/>
      <c r="C7" s="41" t="str">
        <f>'Asignación de Proyecto'!B7</f>
        <v>Ingeniería</v>
      </c>
      <c r="D7" s="21"/>
      <c r="E7" s="21"/>
      <c r="F7" s="21"/>
      <c r="G7" s="21"/>
      <c r="H7" s="21"/>
      <c r="I7" s="22"/>
      <c r="J7" s="23" t="s">
        <v>15</v>
      </c>
      <c r="K7" s="161" t="str">
        <f>'Asignación de Proyecto'!K7</f>
        <v>11B</v>
      </c>
      <c r="L7" s="162"/>
      <c r="N7" s="2" t="s">
        <v>54</v>
      </c>
    </row>
    <row r="8" spans="1:14" s="2" customFormat="1" ht="17.25" customHeight="1" x14ac:dyDescent="0.25">
      <c r="A8" s="20" t="s">
        <v>18</v>
      </c>
      <c r="B8" s="41"/>
      <c r="C8" s="41" t="str">
        <f xml:space="preserve"> 'Asignación de Proyecto'!B8</f>
        <v>Desarrollo y Gestión de Software</v>
      </c>
      <c r="D8" s="21"/>
      <c r="E8" s="21"/>
      <c r="F8" s="21"/>
      <c r="G8" s="21"/>
      <c r="H8" s="21"/>
      <c r="I8" s="21"/>
      <c r="J8" s="23" t="s">
        <v>55</v>
      </c>
      <c r="K8" s="161" t="str">
        <f>'Asignación de Proyecto'!K8</f>
        <v>No aplica</v>
      </c>
      <c r="L8" s="162"/>
    </row>
    <row r="9" spans="1:14" s="2" customFormat="1" ht="17.25" customHeight="1" x14ac:dyDescent="0.25">
      <c r="A9" s="20" t="s">
        <v>23</v>
      </c>
      <c r="B9" s="24"/>
      <c r="C9" s="163" t="str">
        <f>'Asignación de Proyecto'!B9</f>
        <v>Baxter S.A. de C.V.</v>
      </c>
      <c r="D9" s="163"/>
      <c r="E9" s="163"/>
      <c r="F9" s="163"/>
      <c r="G9" s="163"/>
      <c r="H9" s="163"/>
      <c r="I9" s="163"/>
      <c r="J9" s="163"/>
      <c r="K9" s="163"/>
      <c r="L9" s="164"/>
    </row>
    <row r="10" spans="1:14" s="2" customFormat="1" ht="17.25" customHeight="1" x14ac:dyDescent="0.25">
      <c r="A10" s="170" t="str">
        <f>'Asignación de Proyecto'!A10</f>
        <v>Asesor empresarial:</v>
      </c>
      <c r="B10" s="171"/>
      <c r="C10" s="161" t="str">
        <f>'Asignación de Proyecto'!B10</f>
        <v>I. I. Julio César Torres Hernández</v>
      </c>
      <c r="D10" s="161"/>
      <c r="E10" s="161"/>
      <c r="F10" s="161"/>
      <c r="G10" s="161"/>
      <c r="H10" s="161"/>
      <c r="I10" s="161"/>
      <c r="J10" s="161"/>
      <c r="K10" s="161"/>
      <c r="L10" s="162"/>
    </row>
    <row r="11" spans="1:14" s="2" customFormat="1" ht="17.25" customHeight="1" x14ac:dyDescent="0.25">
      <c r="A11" s="170" t="str">
        <f>'Asignación de Proyecto'!A11</f>
        <v>Asesora universitaria:</v>
      </c>
      <c r="B11" s="171"/>
      <c r="C11" s="161" t="str">
        <f>'Asignación de Proyecto'!B11</f>
        <v>M. C. Nélida Báron Pérez</v>
      </c>
      <c r="D11" s="161"/>
      <c r="E11" s="161"/>
      <c r="F11" s="161"/>
      <c r="G11" s="161"/>
      <c r="H11" s="161"/>
      <c r="I11" s="161"/>
      <c r="J11" s="161"/>
      <c r="K11" s="161"/>
      <c r="L11" s="162"/>
    </row>
    <row r="12" spans="1:14" s="2" customFormat="1" ht="17.25" customHeight="1" x14ac:dyDescent="0.25">
      <c r="A12" s="172" t="s">
        <v>33</v>
      </c>
      <c r="B12" s="173"/>
      <c r="C12" s="161" t="str">
        <f>'Asignación de Proyecto'!A15</f>
        <v>Monitoreo y Control de Muestras de Retención</v>
      </c>
      <c r="D12" s="161"/>
      <c r="E12" s="161"/>
      <c r="F12" s="161"/>
      <c r="G12" s="161"/>
      <c r="H12" s="161"/>
      <c r="I12" s="161"/>
      <c r="J12" s="161"/>
      <c r="K12" s="161"/>
      <c r="L12" s="162"/>
    </row>
    <row r="13" spans="1:14" s="2" customFormat="1" ht="17.25" customHeight="1" thickBot="1" x14ac:dyDescent="0.3">
      <c r="A13" s="174" t="s">
        <v>56</v>
      </c>
      <c r="B13" s="175"/>
      <c r="C13" s="166">
        <f>'Asignación de Proyecto'!B12</f>
        <v>46028</v>
      </c>
      <c r="D13" s="166"/>
      <c r="E13" s="166"/>
      <c r="F13" s="166"/>
      <c r="G13" s="25" t="s">
        <v>57</v>
      </c>
      <c r="H13" s="167">
        <f>'Asignación de Proyecto'!G12</f>
        <v>46128</v>
      </c>
      <c r="I13" s="167"/>
      <c r="J13" s="167"/>
      <c r="K13" s="167"/>
      <c r="L13" s="168"/>
    </row>
    <row r="14" spans="1:14" s="2" customFormat="1" ht="15" x14ac:dyDescent="0.25">
      <c r="A14" s="165" t="s">
        <v>58</v>
      </c>
      <c r="B14" s="169" t="s">
        <v>59</v>
      </c>
      <c r="C14" s="169"/>
      <c r="D14" s="169"/>
      <c r="E14" s="169"/>
      <c r="F14" s="165" t="s">
        <v>60</v>
      </c>
      <c r="G14" s="165"/>
      <c r="H14" s="169" t="s">
        <v>61</v>
      </c>
      <c r="I14" s="169"/>
      <c r="J14" s="169"/>
      <c r="K14" s="165" t="s">
        <v>62</v>
      </c>
      <c r="L14" s="165"/>
    </row>
    <row r="15" spans="1:14" s="2" customFormat="1" ht="15" x14ac:dyDescent="0.25">
      <c r="A15" s="190"/>
      <c r="B15" s="191"/>
      <c r="C15" s="191"/>
      <c r="D15" s="191"/>
      <c r="E15" s="191"/>
      <c r="F15" s="192"/>
      <c r="G15" s="192"/>
      <c r="H15" s="191"/>
      <c r="I15" s="191"/>
      <c r="J15" s="191"/>
      <c r="K15" s="192"/>
      <c r="L15" s="192"/>
    </row>
    <row r="16" spans="1:14" s="2" customFormat="1" ht="55.2" customHeight="1" x14ac:dyDescent="0.25">
      <c r="A16" s="201">
        <v>46030</v>
      </c>
      <c r="B16" s="207" t="s">
        <v>90</v>
      </c>
      <c r="C16" s="207"/>
      <c r="D16" s="207"/>
      <c r="E16" s="207"/>
      <c r="F16" s="208" t="s">
        <v>83</v>
      </c>
      <c r="G16" s="208"/>
      <c r="H16" s="198" t="s">
        <v>85</v>
      </c>
      <c r="I16" s="199"/>
      <c r="J16" s="200"/>
      <c r="K16" s="196"/>
      <c r="L16" s="197"/>
    </row>
    <row r="17" spans="1:12" s="2" customFormat="1" ht="47.4" customHeight="1" x14ac:dyDescent="0.25">
      <c r="A17" s="193">
        <v>46031</v>
      </c>
      <c r="B17" s="202" t="s">
        <v>89</v>
      </c>
      <c r="C17" s="202"/>
      <c r="D17" s="202"/>
      <c r="E17" s="202"/>
      <c r="F17" s="208" t="s">
        <v>83</v>
      </c>
      <c r="G17" s="208"/>
      <c r="H17" s="198" t="s">
        <v>84</v>
      </c>
      <c r="I17" s="199"/>
      <c r="J17" s="200"/>
      <c r="K17" s="196"/>
      <c r="L17" s="197"/>
    </row>
    <row r="18" spans="1:12" s="2" customFormat="1" ht="39" customHeight="1" thickBot="1" x14ac:dyDescent="0.3">
      <c r="A18" s="193">
        <v>46035</v>
      </c>
      <c r="B18" s="202" t="s">
        <v>91</v>
      </c>
      <c r="C18" s="202"/>
      <c r="D18" s="202"/>
      <c r="E18" s="202"/>
      <c r="F18" s="209" t="s">
        <v>71</v>
      </c>
      <c r="G18" s="209"/>
      <c r="H18" s="202" t="s">
        <v>69</v>
      </c>
      <c r="I18" s="202"/>
      <c r="J18" s="202"/>
      <c r="K18" s="194"/>
      <c r="L18" s="195"/>
    </row>
    <row r="19" spans="1:12" s="2" customFormat="1" ht="27.75" customHeight="1" x14ac:dyDescent="0.25">
      <c r="A19" s="26">
        <v>46041</v>
      </c>
      <c r="B19" s="184" t="s">
        <v>100</v>
      </c>
      <c r="C19" s="184"/>
      <c r="D19" s="184"/>
      <c r="E19" s="184"/>
      <c r="F19" s="185" t="s">
        <v>71</v>
      </c>
      <c r="G19" s="185"/>
      <c r="H19" s="184" t="s">
        <v>70</v>
      </c>
      <c r="I19" s="184"/>
      <c r="J19" s="184"/>
      <c r="K19" s="154"/>
      <c r="L19" s="158"/>
    </row>
    <row r="20" spans="1:12" s="2" customFormat="1" ht="32.4" customHeight="1" x14ac:dyDescent="0.25">
      <c r="A20" s="193">
        <v>46044</v>
      </c>
      <c r="B20" s="203" t="s">
        <v>99</v>
      </c>
      <c r="C20" s="204"/>
      <c r="D20" s="204"/>
      <c r="E20" s="205"/>
      <c r="F20" s="208" t="s">
        <v>83</v>
      </c>
      <c r="G20" s="208"/>
      <c r="H20" s="218" t="s">
        <v>104</v>
      </c>
      <c r="I20" s="204"/>
      <c r="J20" s="205"/>
      <c r="K20" s="206"/>
      <c r="L20" s="217"/>
    </row>
    <row r="21" spans="1:12" s="2" customFormat="1" ht="32.4" customHeight="1" x14ac:dyDescent="0.25">
      <c r="A21" s="193">
        <v>46051</v>
      </c>
      <c r="B21" s="203" t="s">
        <v>98</v>
      </c>
      <c r="C21" s="204"/>
      <c r="D21" s="204"/>
      <c r="E21" s="205"/>
      <c r="F21" s="208" t="s">
        <v>83</v>
      </c>
      <c r="G21" s="208"/>
      <c r="H21" s="204" t="s">
        <v>106</v>
      </c>
      <c r="I21" s="204"/>
      <c r="J21" s="205"/>
      <c r="K21" s="206"/>
      <c r="L21" s="217"/>
    </row>
    <row r="22" spans="1:12" s="2" customFormat="1" ht="33.6" customHeight="1" x14ac:dyDescent="0.25">
      <c r="A22" s="27">
        <v>46069</v>
      </c>
      <c r="B22" s="203" t="s">
        <v>87</v>
      </c>
      <c r="C22" s="204"/>
      <c r="D22" s="204"/>
      <c r="E22" s="205"/>
      <c r="F22" s="186" t="s">
        <v>71</v>
      </c>
      <c r="G22" s="187"/>
      <c r="H22" s="203" t="s">
        <v>86</v>
      </c>
      <c r="I22" s="204"/>
      <c r="J22" s="205"/>
      <c r="K22" s="188"/>
      <c r="L22" s="189"/>
    </row>
    <row r="23" spans="1:12" s="2" customFormat="1" ht="33.6" customHeight="1" x14ac:dyDescent="0.25">
      <c r="A23" s="27">
        <v>46072</v>
      </c>
      <c r="B23" s="203" t="s">
        <v>107</v>
      </c>
      <c r="C23" s="204"/>
      <c r="D23" s="204"/>
      <c r="E23" s="205"/>
      <c r="F23" s="208" t="s">
        <v>83</v>
      </c>
      <c r="G23" s="208"/>
      <c r="H23" s="203" t="s">
        <v>108</v>
      </c>
      <c r="I23" s="204"/>
      <c r="J23" s="205"/>
      <c r="K23" s="206"/>
      <c r="L23" s="217"/>
    </row>
    <row r="24" spans="1:12" s="2" customFormat="1" ht="39" customHeight="1" x14ac:dyDescent="0.25">
      <c r="A24" s="27">
        <v>46083</v>
      </c>
      <c r="B24" s="184" t="s">
        <v>94</v>
      </c>
      <c r="C24" s="184"/>
      <c r="D24" s="184"/>
      <c r="E24" s="184"/>
      <c r="F24" s="186" t="s">
        <v>71</v>
      </c>
      <c r="G24" s="187"/>
      <c r="H24" s="184" t="s">
        <v>95</v>
      </c>
      <c r="I24" s="184"/>
      <c r="J24" s="184"/>
      <c r="K24" s="154"/>
      <c r="L24" s="158"/>
    </row>
    <row r="25" spans="1:12" s="2" customFormat="1" ht="39" customHeight="1" x14ac:dyDescent="0.25">
      <c r="A25" s="27">
        <v>46086</v>
      </c>
      <c r="B25" s="203" t="s">
        <v>109</v>
      </c>
      <c r="C25" s="204"/>
      <c r="D25" s="204"/>
      <c r="E25" s="219"/>
      <c r="F25" s="208" t="s">
        <v>83</v>
      </c>
      <c r="G25" s="208"/>
      <c r="H25" s="218" t="s">
        <v>110</v>
      </c>
      <c r="I25" s="204"/>
      <c r="J25" s="205"/>
      <c r="K25" s="206"/>
      <c r="L25" s="217"/>
    </row>
    <row r="26" spans="1:12" s="2" customFormat="1" ht="54" customHeight="1" x14ac:dyDescent="0.25">
      <c r="A26" s="27">
        <v>46093</v>
      </c>
      <c r="B26" s="203" t="s">
        <v>111</v>
      </c>
      <c r="C26" s="204"/>
      <c r="D26" s="204"/>
      <c r="E26" s="204"/>
      <c r="F26" s="208" t="s">
        <v>83</v>
      </c>
      <c r="G26" s="208"/>
      <c r="H26" s="204" t="s">
        <v>112</v>
      </c>
      <c r="I26" s="204"/>
      <c r="J26" s="205"/>
      <c r="K26" s="206"/>
      <c r="L26" s="217"/>
    </row>
    <row r="27" spans="1:12" s="2" customFormat="1" ht="33" customHeight="1" x14ac:dyDescent="0.25">
      <c r="A27" s="27">
        <v>46094</v>
      </c>
      <c r="B27" s="203" t="s">
        <v>88</v>
      </c>
      <c r="C27" s="204"/>
      <c r="D27" s="204"/>
      <c r="E27" s="205"/>
      <c r="F27" s="186" t="s">
        <v>71</v>
      </c>
      <c r="G27" s="187"/>
      <c r="H27" s="203" t="s">
        <v>92</v>
      </c>
      <c r="I27" s="204"/>
      <c r="J27" s="205"/>
      <c r="K27" s="188"/>
      <c r="L27" s="189"/>
    </row>
    <row r="28" spans="1:12" s="2" customFormat="1" ht="33" customHeight="1" x14ac:dyDescent="0.25">
      <c r="A28" s="27">
        <v>46100</v>
      </c>
      <c r="B28" s="203" t="s">
        <v>114</v>
      </c>
      <c r="C28" s="204"/>
      <c r="D28" s="204"/>
      <c r="E28" s="205"/>
      <c r="F28" s="208" t="s">
        <v>83</v>
      </c>
      <c r="G28" s="208"/>
      <c r="H28" s="203" t="s">
        <v>113</v>
      </c>
      <c r="I28" s="204"/>
      <c r="J28" s="205"/>
      <c r="K28" s="206"/>
      <c r="L28" s="217"/>
    </row>
    <row r="29" spans="1:12" s="2" customFormat="1" ht="49.2" customHeight="1" x14ac:dyDescent="0.25">
      <c r="A29" s="27">
        <v>46106</v>
      </c>
      <c r="B29" s="184" t="s">
        <v>103</v>
      </c>
      <c r="C29" s="184"/>
      <c r="D29" s="184"/>
      <c r="E29" s="184"/>
      <c r="F29" s="185" t="s">
        <v>71</v>
      </c>
      <c r="G29" s="185"/>
      <c r="H29" s="184" t="s">
        <v>105</v>
      </c>
      <c r="I29" s="184"/>
      <c r="J29" s="184"/>
      <c r="K29" s="154"/>
      <c r="L29" s="158"/>
    </row>
    <row r="30" spans="1:12" s="2" customFormat="1" ht="49.2" customHeight="1" x14ac:dyDescent="0.25">
      <c r="A30" s="27">
        <v>46107</v>
      </c>
      <c r="B30" s="203" t="s">
        <v>115</v>
      </c>
      <c r="C30" s="204"/>
      <c r="D30" s="204"/>
      <c r="E30" s="205"/>
      <c r="F30" s="208" t="s">
        <v>83</v>
      </c>
      <c r="G30" s="208"/>
      <c r="H30" s="203" t="s">
        <v>116</v>
      </c>
      <c r="I30" s="204"/>
      <c r="J30" s="205"/>
      <c r="K30" s="188"/>
      <c r="L30" s="189"/>
    </row>
    <row r="31" spans="1:12" s="2" customFormat="1" ht="49.2" customHeight="1" x14ac:dyDescent="0.25">
      <c r="A31" s="27">
        <v>46112</v>
      </c>
      <c r="B31" s="203" t="s">
        <v>117</v>
      </c>
      <c r="C31" s="204"/>
      <c r="D31" s="204"/>
      <c r="E31" s="205"/>
      <c r="F31" s="208" t="s">
        <v>83</v>
      </c>
      <c r="G31" s="208"/>
      <c r="H31" s="203" t="s">
        <v>118</v>
      </c>
      <c r="I31" s="204"/>
      <c r="J31" s="205"/>
      <c r="K31" s="206"/>
      <c r="L31" s="217"/>
    </row>
    <row r="32" spans="1:12" s="2" customFormat="1" ht="69" customHeight="1" x14ac:dyDescent="0.25">
      <c r="A32" s="27">
        <v>46115</v>
      </c>
      <c r="B32" s="203" t="s">
        <v>119</v>
      </c>
      <c r="C32" s="204"/>
      <c r="D32" s="204"/>
      <c r="E32" s="205"/>
      <c r="F32" s="208" t="s">
        <v>83</v>
      </c>
      <c r="G32" s="208"/>
      <c r="H32" s="218" t="s">
        <v>120</v>
      </c>
      <c r="I32" s="204"/>
      <c r="J32" s="205"/>
      <c r="K32" s="206"/>
      <c r="L32" s="217"/>
    </row>
    <row r="33" spans="1:13" s="2" customFormat="1" ht="33" customHeight="1" x14ac:dyDescent="0.25">
      <c r="A33" s="27">
        <v>46118</v>
      </c>
      <c r="B33" s="184" t="s">
        <v>102</v>
      </c>
      <c r="C33" s="184"/>
      <c r="D33" s="184"/>
      <c r="E33" s="184"/>
      <c r="F33" s="185" t="s">
        <v>93</v>
      </c>
      <c r="G33" s="185"/>
      <c r="H33" s="210" t="s">
        <v>96</v>
      </c>
      <c r="I33" s="211"/>
      <c r="J33" s="212"/>
      <c r="K33" s="154"/>
      <c r="L33" s="158"/>
    </row>
    <row r="34" spans="1:13" s="2" customFormat="1" ht="33" customHeight="1" x14ac:dyDescent="0.25">
      <c r="A34" s="27">
        <v>46118</v>
      </c>
      <c r="B34" s="184" t="s">
        <v>102</v>
      </c>
      <c r="C34" s="184"/>
      <c r="D34" s="184"/>
      <c r="E34" s="184"/>
      <c r="F34" s="185" t="s">
        <v>71</v>
      </c>
      <c r="G34" s="185"/>
      <c r="H34" s="213"/>
      <c r="I34" s="214"/>
      <c r="J34" s="215"/>
      <c r="K34" s="154"/>
      <c r="L34" s="158"/>
    </row>
    <row r="35" spans="1:13" s="2" customFormat="1" ht="42.6" customHeight="1" thickBot="1" x14ac:dyDescent="0.3">
      <c r="A35" s="28">
        <v>46121</v>
      </c>
      <c r="B35" s="157" t="s">
        <v>101</v>
      </c>
      <c r="C35" s="157"/>
      <c r="D35" s="157"/>
      <c r="E35" s="157"/>
      <c r="F35" s="185" t="s">
        <v>93</v>
      </c>
      <c r="G35" s="185"/>
      <c r="H35" s="216" t="s">
        <v>97</v>
      </c>
      <c r="I35" s="216"/>
      <c r="J35" s="216"/>
      <c r="K35" s="155"/>
      <c r="L35" s="160"/>
    </row>
    <row r="36" spans="1:13" s="2" customFormat="1" ht="10.5" customHeight="1" x14ac:dyDescent="0.25">
      <c r="A36" s="3"/>
      <c r="B36" s="3"/>
      <c r="C36" s="4" t="s">
        <v>63</v>
      </c>
      <c r="D36" s="4"/>
      <c r="E36" s="4" t="s">
        <v>64</v>
      </c>
      <c r="G36" s="4" t="s">
        <v>65</v>
      </c>
      <c r="H36" s="4"/>
      <c r="J36" s="4" t="s">
        <v>66</v>
      </c>
      <c r="K36" s="4"/>
      <c r="L36" s="3"/>
    </row>
    <row r="37" spans="1:13" s="2" customFormat="1" ht="10.5" customHeight="1" x14ac:dyDescent="0.25">
      <c r="A37" s="3"/>
      <c r="B37" s="3"/>
      <c r="C37" s="4"/>
      <c r="D37" s="4"/>
      <c r="E37" s="4" t="s">
        <v>67</v>
      </c>
      <c r="G37" s="4" t="s">
        <v>68</v>
      </c>
      <c r="H37" s="4"/>
      <c r="J37" s="4"/>
      <c r="K37" s="4"/>
      <c r="L37" s="3"/>
    </row>
    <row r="38" spans="1:13" s="2" customFormat="1" ht="17.25" customHeight="1" x14ac:dyDescent="0.25">
      <c r="A38" s="3"/>
      <c r="B38" s="3"/>
      <c r="C38" s="4"/>
      <c r="D38" s="4"/>
      <c r="E38" s="4"/>
      <c r="G38" s="4"/>
      <c r="H38" s="4"/>
      <c r="J38" s="4"/>
      <c r="K38" s="4"/>
      <c r="L38" s="3"/>
    </row>
    <row r="39" spans="1:13" s="2" customFormat="1" ht="29.25" customHeight="1" x14ac:dyDescent="0.3">
      <c r="B39" s="156" t="str">
        <f>'Asignación de Proyecto'!J34</f>
        <v>M. C. Nélida Báron Pérez</v>
      </c>
      <c r="C39" s="156"/>
      <c r="D39" s="156"/>
      <c r="E39" s="156"/>
      <c r="H39" s="159"/>
      <c r="I39" s="159"/>
      <c r="J39" s="159"/>
      <c r="K39" s="159"/>
    </row>
    <row r="40" spans="1:13" s="2" customFormat="1" ht="15.6" x14ac:dyDescent="0.25">
      <c r="B40" s="153" t="str">
        <f>'Asignación de Proyecto'!J35</f>
        <v>ASESORA UNIVERSITARIA</v>
      </c>
      <c r="C40" s="153"/>
      <c r="D40" s="153"/>
      <c r="E40" s="153"/>
      <c r="H40" s="153" t="s">
        <v>53</v>
      </c>
      <c r="I40" s="153"/>
      <c r="J40" s="153"/>
      <c r="K40" s="153"/>
    </row>
    <row r="41" spans="1:13" ht="25.5" customHeight="1" x14ac:dyDescent="0.25">
      <c r="A41" s="108" t="s">
        <v>47</v>
      </c>
      <c r="B41" s="108"/>
      <c r="C41" s="108"/>
      <c r="D41" s="108"/>
      <c r="E41" s="108"/>
      <c r="F41" s="108"/>
      <c r="G41" s="108"/>
      <c r="H41" s="108"/>
      <c r="I41" s="108"/>
      <c r="J41" s="108"/>
      <c r="K41" s="108"/>
      <c r="L41" s="108"/>
      <c r="M41" s="18"/>
    </row>
    <row r="42" spans="1:13" ht="12.75" customHeight="1" x14ac:dyDescent="0.25"/>
    <row r="43" spans="1:13" ht="63.9" customHeight="1" x14ac:dyDescent="0.25"/>
  </sheetData>
  <mergeCells count="98">
    <mergeCell ref="B28:E28"/>
    <mergeCell ref="F28:G28"/>
    <mergeCell ref="H28:J28"/>
    <mergeCell ref="B30:E30"/>
    <mergeCell ref="F30:G30"/>
    <mergeCell ref="H30:J30"/>
    <mergeCell ref="B25:E25"/>
    <mergeCell ref="H25:J25"/>
    <mergeCell ref="B26:E26"/>
    <mergeCell ref="F26:G26"/>
    <mergeCell ref="H26:J26"/>
    <mergeCell ref="K17:L17"/>
    <mergeCell ref="B27:E27"/>
    <mergeCell ref="H27:J27"/>
    <mergeCell ref="K27:L27"/>
    <mergeCell ref="F27:G27"/>
    <mergeCell ref="B20:E20"/>
    <mergeCell ref="F20:G20"/>
    <mergeCell ref="H20:J20"/>
    <mergeCell ref="B21:E21"/>
    <mergeCell ref="F21:G21"/>
    <mergeCell ref="H21:J21"/>
    <mergeCell ref="B23:E23"/>
    <mergeCell ref="H23:J23"/>
    <mergeCell ref="F23:G23"/>
    <mergeCell ref="A14:A15"/>
    <mergeCell ref="F19:G19"/>
    <mergeCell ref="B18:E18"/>
    <mergeCell ref="F18:G18"/>
    <mergeCell ref="H18:J18"/>
    <mergeCell ref="K18:L18"/>
    <mergeCell ref="B16:E16"/>
    <mergeCell ref="B17:E17"/>
    <mergeCell ref="F16:G16"/>
    <mergeCell ref="F17:G17"/>
    <mergeCell ref="H16:J16"/>
    <mergeCell ref="H17:J17"/>
    <mergeCell ref="K16:L16"/>
    <mergeCell ref="A41:L41"/>
    <mergeCell ref="B19:E19"/>
    <mergeCell ref="B22:E22"/>
    <mergeCell ref="B24:E24"/>
    <mergeCell ref="B29:E29"/>
    <mergeCell ref="B33:E33"/>
    <mergeCell ref="B34:E34"/>
    <mergeCell ref="B35:E35"/>
    <mergeCell ref="H19:J19"/>
    <mergeCell ref="F24:G24"/>
    <mergeCell ref="K19:L19"/>
    <mergeCell ref="A2:J2"/>
    <mergeCell ref="A3:J3"/>
    <mergeCell ref="A4:J4"/>
    <mergeCell ref="C5:L5"/>
    <mergeCell ref="K6:L6"/>
    <mergeCell ref="K8:L8"/>
    <mergeCell ref="C9:L9"/>
    <mergeCell ref="K7:L7"/>
    <mergeCell ref="C10:L10"/>
    <mergeCell ref="K14:L15"/>
    <mergeCell ref="C11:L11"/>
    <mergeCell ref="C12:L12"/>
    <mergeCell ref="C13:F13"/>
    <mergeCell ref="H13:L13"/>
    <mergeCell ref="B14:E15"/>
    <mergeCell ref="F14:G15"/>
    <mergeCell ref="H14:J15"/>
    <mergeCell ref="A10:B10"/>
    <mergeCell ref="A11:B11"/>
    <mergeCell ref="A12:B12"/>
    <mergeCell ref="A13:B13"/>
    <mergeCell ref="F22:G22"/>
    <mergeCell ref="H22:J22"/>
    <mergeCell ref="H24:J24"/>
    <mergeCell ref="H39:K39"/>
    <mergeCell ref="K35:L35"/>
    <mergeCell ref="K22:L22"/>
    <mergeCell ref="K24:L24"/>
    <mergeCell ref="H33:J34"/>
    <mergeCell ref="F25:G25"/>
    <mergeCell ref="K30:L30"/>
    <mergeCell ref="F31:G31"/>
    <mergeCell ref="H31:J31"/>
    <mergeCell ref="F32:G32"/>
    <mergeCell ref="H32:J32"/>
    <mergeCell ref="B40:E40"/>
    <mergeCell ref="H40:K40"/>
    <mergeCell ref="F29:G29"/>
    <mergeCell ref="F33:G33"/>
    <mergeCell ref="F34:G34"/>
    <mergeCell ref="F35:G35"/>
    <mergeCell ref="B39:E39"/>
    <mergeCell ref="H29:J29"/>
    <mergeCell ref="H35:J35"/>
    <mergeCell ref="K29:L29"/>
    <mergeCell ref="K33:L33"/>
    <mergeCell ref="K34:L34"/>
    <mergeCell ref="B31:E31"/>
    <mergeCell ref="B32:E32"/>
  </mergeCells>
  <dataValidations count="1">
    <dataValidation type="list" allowBlank="1" showInputMessage="1" showErrorMessage="1" promptTitle="Selecciona directora o director." prompt="Selecciona directora o director." sqref="H40:K40" xr:uid="{00000000-0002-0000-0100-000000000000}">
      <formula1>$N$5:$N$7</formula1>
    </dataValidation>
  </dataValidations>
  <printOptions horizontalCentered="1" verticalCentered="1"/>
  <pageMargins left="0.19685039370078741" right="0.19685039370078741" top="0.39370078740157483" bottom="0.39370078740157483" header="0" footer="0"/>
  <pageSetup scale="6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Asignación de Proyecto</vt:lpstr>
      <vt:lpstr>Formato de Asesorías</vt:lpstr>
      <vt:lpstr>'Asignación de Proyecto'!Área_de_impresión</vt:lpstr>
      <vt:lpstr>'Formato de Asesorías'!Área_de_impresión</vt:lpstr>
    </vt:vector>
  </TitlesOfParts>
  <Manager/>
  <Company>Heliosc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Osceli Domfig Perbra</dc:creator>
  <cp:keywords/>
  <dc:description/>
  <cp:lastModifiedBy>DIAZ HERNANDEZ, ANDRES YISMAEL</cp:lastModifiedBy>
  <cp:revision/>
  <cp:lastPrinted>2026-04-21T17:49:57Z</cp:lastPrinted>
  <dcterms:created xsi:type="dcterms:W3CDTF">2002-06-05T02:43:54Z</dcterms:created>
  <dcterms:modified xsi:type="dcterms:W3CDTF">2026-04-21T20:26:17Z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2026-04-21T16:38:46Z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4db037bb-7f1e-40a0-add2-df4a6079d204</vt:lpwstr>
  </property>
  <property fmtid="{D5CDD505-2E9C-101B-9397-08002B2CF9AE}" pid="7" name="MSIP_Label_defa4170-0d19-0005-0004-bc88714345d2_ActionId">
    <vt:lpwstr>265aa627-0535-4199-ab17-2095edc4dc7a</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